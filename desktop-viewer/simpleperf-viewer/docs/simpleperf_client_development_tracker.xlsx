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2cefcb2b9d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2be03e393eb447ce"/>
    <x:sheet xmlns:r="http://schemas.openxmlformats.org/officeDocument/2006/relationships" name="里程碑" sheetId="2" r:id="R7cb968771f5d4b73"/>
    <x:sheet xmlns:r="http://schemas.openxmlformats.org/officeDocument/2006/relationships" name="开发WBS" sheetId="3" r:id="Rf25f02508d094760"/>
    <x:sheet xmlns:r="http://schemas.openxmlformats.org/officeDocument/2006/relationships" name="功能清单" sheetId="4" r:id="R47243410513a40da"/>
    <x:sheet xmlns:r="http://schemas.openxmlformats.org/officeDocument/2006/relationships" name="测试矩阵" sheetId="5" r:id="R429ba2ec1bdb4ee6"/>
    <x:sheet xmlns:r="http://schemas.openxmlformats.org/officeDocument/2006/relationships" name="风险与决策" sheetId="6" r:id="R973619e7af344be4"/>
    <x:sheet xmlns:r="http://schemas.openxmlformats.org/officeDocument/2006/relationships" name="参考资料" sheetId="7" r:id="R2eb2ac5fce5c44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yyyy-mm-dd"/>
    <x:numFmt numFmtId="202" formatCode="0.0"/>
    <x:numFmt numFmtId="203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44546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4557A"/>
      </x:patternFill>
    </x:fill>
    <x:fill>
      <x:patternFill patternType="solid">
        <x:fgColor rgb="FFF3F6F9"/>
      </x:patternFill>
    </x:fill>
  </x:fills>
  <x:borders count="21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2" fillId="3" borderId="11" xfId="0" applyNumberFormat="1" applyFont="1" applyFill="1" applyBorder="1" applyAlignment="1">
      <x:alignment horizontal="center" vertical="top" wrapText="1"/>
    </x:xf>
    <x:xf numFmtId="0" fontId="2" fillId="3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8" xfId="0" applyNumberFormat="1" applyFont="1" applyFill="1" applyBorder="1"/>
    <x:xf numFmtId="201" fontId="0" fillId="0" borderId="16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</x:cellXfs>
  <x:cellStyles count="1">
    <x:cellStyle name="Normal" xfId="0"/>
  </x:cellStyles>
  <x:dxfs count="14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6500"/>
      </x:font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ba1a7d1aa485a" /><Relationship Type="http://schemas.openxmlformats.org/officeDocument/2006/relationships/theme" Target="/xl/theme/theme1.xml" Id="Rdbe68d36c76c4156" /><Relationship Type="http://schemas.openxmlformats.org/officeDocument/2006/relationships/sharedStrings" Target="/xl/sharedStrings.xml" Id="R1aaf2658ccef44f7" /><Relationship Type="http://schemas.openxmlformats.org/officeDocument/2006/relationships/worksheet" Target="/xl/worksheets/sheet1.xml" Id="R2be03e393eb447ce" /><Relationship Type="http://schemas.openxmlformats.org/officeDocument/2006/relationships/worksheet" Target="/xl/worksheets/sheet2.xml" Id="R7cb968771f5d4b73" /><Relationship Type="http://schemas.openxmlformats.org/officeDocument/2006/relationships/worksheet" Target="/xl/worksheets/sheet3.xml" Id="Rf25f02508d094760" /><Relationship Type="http://schemas.openxmlformats.org/officeDocument/2006/relationships/worksheet" Target="/xl/worksheets/sheet4.xml" Id="R47243410513a40da" /><Relationship Type="http://schemas.openxmlformats.org/officeDocument/2006/relationships/worksheet" Target="/xl/worksheets/sheet5.xml" Id="R429ba2ec1bdb4ee6" /><Relationship Type="http://schemas.openxmlformats.org/officeDocument/2006/relationships/worksheet" Target="/xl/worksheets/sheet6.xml" Id="R973619e7af344be4" /><Relationship Type="http://schemas.openxmlformats.org/officeDocument/2006/relationships/worksheet" Target="/xl/worksheets/sheet7.xml" Id="R2eb2ac5fce5c44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fb638432e5461b" /><Relationship Type="http://schemas.openxmlformats.org/officeDocument/2006/relationships/chart" Target="/xl/drawings/charts/chart2.xml" Id="R52354220f527452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每周计划/已完成人日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计划完成人日</c:v>
          </c:tx>
          <c:cat>
            <c:strRef>
              <c:f>'项目总览'!$A$22:$A$37</c:f>
              <c:strCache>
                <c:ptCount val="0"/>
              </c:strCache>
            </c:strRef>
          </c:cat>
          <c:val>
            <c:numRef>
              <c:f>'项目总览'!$B$22:$B$37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已完成人日</c:v>
          </c:tx>
          <c:cat>
            <c:strRef>
              <c:f>'项目总览'!$A$22:$A$37</c:f>
              <c:strCache>
                <c:ptCount val="0"/>
              </c:strCache>
            </c:strRef>
          </c:cat>
          <c:val>
            <c:numRef>
              <c:f>'项目总览'!$C$22:$C$37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WBS状态分布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数量</c:v>
          </c:tx>
          <c:cat>
            <c:strRef>
              <c:f>'项目总览'!$G$5:$G$10</c:f>
              <c:strCache>
                <c:ptCount val="0"/>
              </c:strCache>
            </c:strRef>
          </c:cat>
          <c:val>
            <c:numRef>
              <c:f>'项目总览'!$H$5:$H$10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11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fb638432e5461b"/>
        </a:graphicData>
      </a:graphic>
    </xdr:graphicFrame>
    <xdr:clientData/>
  </xdr:twoCellAnchor>
  <xdr:twoCellAnchor>
    <xdr:from>
      <xdr:col>5</xdr:col>
      <xdr:colOff>0</xdr:colOff>
      <xdr:row>30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354220f527452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6" name="MilestoneTable" displayName="MilestoneTable" ref="A2:L10" headerRowCount="1">
  <x:tableColumns count="12">
    <x:tableColumn id="1" name="里程碑ID"/>
    <x:tableColumn id="2" name="阶段"/>
    <x:tableColumn id="3" name="目标周"/>
    <x:tableColumn id="4" name="阶段目标"/>
    <x:tableColumn id="5" name="关键交付物"/>
    <x:tableColumn id="6" name="进入条件"/>
    <x:tableColumn id="7" name="退出条件"/>
    <x:tableColumn id="8" name="计划人日"/>
    <x:tableColumn id="9" name="完成度"/>
    <x:tableColumn id="10" name="状态"/>
    <x:tableColumn id="11" name="负责人"/>
    <x:tableColumn id="12" name="主要风险"/>
  </x:tableColumns>
  <x:tableStyleInfo name="TableStyleMedium2" showRowStripes="1"/>
</x:table>
</file>

<file path=xl/tables/table2.xml><?xml version="1.0" encoding="utf-8"?>
<x:table xmlns:x="http://schemas.openxmlformats.org/spreadsheetml/2006/main" id="1" name="DevelopmentWBSTable" displayName="DevelopmentWBSTable" ref="A2:Q119" headerRowCount="1">
  <x:tableColumns count="17">
    <x:tableColumn id="1" name="任务ID"/>
    <x:tableColumn id="2" name="阶段"/>
    <x:tableColumn id="3" name="模块"/>
    <x:tableColumn id="4" name="任务名称"/>
    <x:tableColumn id="5" name="详细说明"/>
    <x:tableColumn id="6" name="交付物"/>
    <x:tableColumn id="7" name="优先级"/>
    <x:tableColumn id="8" name="负责人"/>
    <x:tableColumn id="9" name="计划开始周"/>
    <x:tableColumn id="10" name="计划结束周"/>
    <x:tableColumn id="11" name="估算人日"/>
    <x:tableColumn id="12" name="前置依赖"/>
    <x:tableColumn id="13" name="当前状态"/>
    <x:tableColumn id="14" name="完成度"/>
    <x:tableColumn id="15" name="验收标准"/>
    <x:tableColumn id="16" name="测试/验证"/>
    <x:tableColumn id="17" name="备注"/>
  </x:tableColumns>
  <x:tableStyleInfo name="TableStyleMedium2" showRowStripes="1"/>
</x:table>
</file>

<file path=xl/tables/table3.xml><?xml version="1.0" encoding="utf-8"?>
<x:table xmlns:x="http://schemas.openxmlformats.org/spreadsheetml/2006/main" id="2" name="FeatureBacklogTable" displayName="FeatureBacklogTable" ref="A2:N100" headerRowCount="1">
  <x:tableColumns count="14">
    <x:tableColumn id="1" name="功能ID"/>
    <x:tableColumn id="2" name="一级模块"/>
    <x:tableColumn id="3" name="二级模块"/>
    <x:tableColumn id="4" name="功能名称"/>
    <x:tableColumn id="5" name="功能说明"/>
    <x:tableColumn id="6" name="目标版本"/>
    <x:tableColumn id="7" name="优先级"/>
    <x:tableColumn id="8" name="复杂度"/>
    <x:tableColumn id="9" name="依赖任务"/>
    <x:tableColumn id="10" name="验收标准"/>
    <x:tableColumn id="11" name="测试重点"/>
    <x:tableColumn id="12" name="状态"/>
    <x:tableColumn id="13" name="负责人"/>
    <x:tableColumn id="14" name="备注"/>
  </x:tableColumns>
  <x:tableStyleInfo name="TableStyleMedium2" showRowStripes="1"/>
</x:table>
</file>

<file path=xl/tables/table4.xml><?xml version="1.0" encoding="utf-8"?>
<x:table xmlns:x="http://schemas.openxmlformats.org/spreadsheetml/2006/main" id="3" name="TestMatrixTable" displayName="TestMatrixTable" ref="A2:M30" headerRowCount="1">
  <x:tableColumns count="13">
    <x:tableColumn id="1" name="测试ID"/>
    <x:tableColumn id="2" name="测试层级"/>
    <x:tableColumn id="3" name="模块"/>
    <x:tableColumn id="4" name="场景"/>
    <x:tableColumn id="5" name="前置条件"/>
    <x:tableColumn id="6" name="测试步骤摘要"/>
    <x:tableColumn id="7" name="预期结果"/>
    <x:tableColumn id="8" name="优先级"/>
    <x:tableColumn id="9" name="自动化"/>
    <x:tableColumn id="10" name="关联任务"/>
    <x:tableColumn id="11" name="状态"/>
    <x:tableColumn id="12" name="负责人"/>
    <x:tableColumn id="13" name="证据/报告"/>
  </x:tableColumns>
  <x:tableStyleInfo name="TableStyleMedium2" showRowStripes="1"/>
</x:table>
</file>

<file path=xl/tables/table5.xml><?xml version="1.0" encoding="utf-8"?>
<x:table xmlns:x="http://schemas.openxmlformats.org/spreadsheetml/2006/main" id="4" name="RiskDecisionTable" displayName="RiskDecisionTable" ref="A2:M16" headerRowCount="1">
  <x:tableColumns count="13">
    <x:tableColumn id="1" name="编号"/>
    <x:tableColumn id="2" name="类型"/>
    <x:tableColumn id="3" name="风险/决策"/>
    <x:tableColumn id="4" name="描述"/>
    <x:tableColumn id="5" name="概率"/>
    <x:tableColumn id="6" name="影响"/>
    <x:tableColumn id="7" name="等级"/>
    <x:tableColumn id="8" name="触发信号"/>
    <x:tableColumn id="9" name="应对措施"/>
    <x:tableColumn id="10" name="负责人"/>
    <x:tableColumn id="11" name="目标关闭周"/>
    <x:tableColumn id="12" name="状态"/>
    <x:tableColumn id="13" name="关联任务"/>
  </x:tableColumns>
  <x:tableStyleInfo name="TableStyleMedium2" showRowStripes="1"/>
</x:table>
</file>

<file path=xl/tables/table6.xml><?xml version="1.0" encoding="utf-8"?>
<x:table xmlns:x="http://schemas.openxmlformats.org/spreadsheetml/2006/main" id="5" name="ReferenceTable" displayName="ReferenceTable" ref="A2:C10" headerRowCount="1">
  <x:tableColumns count="3">
    <x:tableColumn id="1" name="主题"/>
    <x:tableColumn id="2" name="用途"/>
    <x:tableColumn id="3" name="官方来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22181e14484d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950e6f951e42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d5ece448dc44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0d757beb2044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708a09479349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f855ac63df42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eda6743a1d473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5" hidden="0" customWidth="1"/>
    <x:col min="3" max="3" width="22" hidden="0" customWidth="1"/>
    <x:col min="4" max="4" width="13" hidden="0" customWidth="1"/>
    <x:col min="5" max="5" width="20" hidden="0" customWidth="1"/>
    <x:col min="6" max="6" width="4" hidden="0" customWidth="1"/>
    <x:col min="7" max="7" width="16" hidden="0" customWidth="1"/>
    <x:col min="8" max="8" width="12" hidden="0" customWidth="1"/>
  </x:cols>
  <x:sheetData>
    <x:row r="1" ht="28" customHeight="1">
      <x:c r="A1" s="5" t="str">
        <x:v>Simpleperf 独立客户端 V0.1 开发跟踪总览</x:v>
      </x:c>
      <x:c r="B1" s="5"/>
      <x:c r="C1" s="5"/>
      <x:c r="D1" s="5"/>
      <x:c r="E1" s="5"/>
      <x:c r="F1" s="5"/>
      <x:c r="G1" s="5"/>
      <x:c r="H1" s="5"/>
    </x:row>
    <x:row r="2" ht="28" customHeight="1">
      <x:c r="A2" s="76" t="str">
        <x:v>说明：修改“项目开始日期”、WBS状态和完成度后，本页与里程碑自动更新。基线为1.5 FTE、16周；单人实施约22周。</x:v>
      </x:c>
      <x:c r="B2" s="76" t="str"/>
      <x:c r="C2" s="76" t="str"/>
      <x:c r="D2" s="76" t="str"/>
      <x:c r="E2" s="76" t="str"/>
      <x:c r="F2" s="76" t="str"/>
      <x:c r="G2" s="76" t="str"/>
      <x:c r="H2" s="76" t="str"/>
    </x:row>
    <x:row r="4">
      <x:c r="A4" s="14" t="str">
        <x:v>项目参数</x:v>
      </x:c>
      <x:c r="B4" s="14" t="str">
        <x:v>值</x:v>
      </x:c>
      <x:c r="G4" s="22" t="str">
        <x:v>WBS状态</x:v>
      </x:c>
      <x:c r="H4" s="24" t="str">
        <x:v>数量</x:v>
      </x:c>
    </x:row>
    <x:row r="5">
      <x:c r="A5" t="str">
        <x:v>项目开始日期</x:v>
      </x:c>
      <x:c r="B5" s="79" t="n">
        <x:v>46223</x:v>
      </x:c>
      <x:c r="G5" s="60" t="str">
        <x:v>未开始</x:v>
      </x:c>
      <x:c r="H5" s="62" t="n">
        <x:f>COUNTIF('开发WBS'!$M$3:$M$119,G5)</x:f>
        <x:v>117</x:v>
      </x:c>
    </x:row>
    <x:row r="6">
      <x:c r="A6" t="str">
        <x:v>计划周期（周）</x:v>
      </x:c>
      <x:c r="B6" t="n">
        <x:v>16</x:v>
      </x:c>
      <x:c r="G6" s="60" t="str">
        <x:v>进行中</x:v>
      </x:c>
      <x:c r="H6" s="62" t="n">
        <x:f>COUNTIF('开发WBS'!$M$3:$M$119,G6)</x:f>
        <x:v>0</x:v>
      </x:c>
    </x:row>
    <x:row r="7">
      <x:c r="A7" t="str">
        <x:v>目标版本</x:v>
      </x:c>
      <x:c r="B7" t="str">
        <x:v>V0.1</x:v>
      </x:c>
      <x:c r="G7" s="60" t="str">
        <x:v>阻塞</x:v>
      </x:c>
      <x:c r="H7" s="62" t="n">
        <x:f>COUNTIF('开发WBS'!$M$3:$M$119,G7)</x:f>
        <x:v>0</x:v>
      </x:c>
    </x:row>
    <x:row r="8">
      <x:c r="A8" t="str">
        <x:v>计划模式</x:v>
      </x:c>
      <x:c r="B8" t="str">
        <x:v>1.5 FTE / 16周；单人约22周</x:v>
      </x:c>
      <x:c r="G8" s="60" t="str">
        <x:v>待验收</x:v>
      </x:c>
      <x:c r="H8" s="62" t="n">
        <x:f>COUNTIF('开发WBS'!$M$3:$M$119,G8)</x:f>
        <x:v>0</x:v>
      </x:c>
    </x:row>
    <x:row r="9">
      <x:c r="G9" s="60" t="str">
        <x:v>已完成</x:v>
      </x:c>
      <x:c r="H9" s="62" t="n">
        <x:f>COUNTIF('开发WBS'!$M$3:$M$119,G9)</x:f>
        <x:v>0</x:v>
      </x:c>
    </x:row>
    <x:row r="10">
      <x:c r="A10" s="22" t="str">
        <x:v>核心KPI</x:v>
      </x:c>
      <x:c r="B10" s="23" t="str">
        <x:v>当前值</x:v>
      </x:c>
      <x:c r="C10" s="23" t="str">
        <x:v>目标/口径</x:v>
      </x:c>
      <x:c r="D10" s="24" t="str">
        <x:v>状态</x:v>
      </x:c>
      <x:c r="G10" s="63" t="str">
        <x:v>已取消</x:v>
      </x:c>
      <x:c r="H10" s="65" t="n">
        <x:f>COUNTIF('开发WBS'!$M$3:$M$119,G10)</x:f>
        <x:v>0</x:v>
      </x:c>
    </x:row>
    <x:row r="11">
      <x:c r="A11" s="60" t="str">
        <x:v>WBS任务总数</x:v>
      </x:c>
      <x:c r="B11" s="61" t="n">
        <x:f>COUNTA('开发WBS'!A3:A119)</x:f>
        <x:v>117</x:v>
      </x:c>
      <x:c r="C11" s="61" t="str">
        <x:v>全部WBS</x:v>
      </x:c>
      <x:c r="D11" s="62" t="str">
        <x:f>IF(B11&gt;0,"已建立","缺失")</x:f>
        <x:v>已建立</x:v>
      </x:c>
    </x:row>
    <x:row r="12">
      <x:c r="A12" s="60" t="str">
        <x:v>已完成任务</x:v>
      </x:c>
      <x:c r="B12" s="61" t="n">
        <x:f>COUNTIF('开发WBS'!M3:M119,"已完成")</x:f>
        <x:v>0</x:v>
      </x:c>
      <x:c r="C12" s="61" t="str">
        <x:v>状态=已完成</x:v>
      </x:c>
      <x:c r="D12" s="62" t="str">
        <x:f>IF(B12=B11,"全部完成",IF(B12&gt;0,"进行中","未开始"))</x:f>
        <x:v>未开始</x:v>
      </x:c>
    </x:row>
    <x:row r="13">
      <x:c r="A13" s="60" t="str">
        <x:v>整体完成度</x:v>
      </x:c>
      <x:c r="B13" s="81" t="n">
        <x:f>IFERROR(SUM('开发WBS'!N3:N119)/COUNT('开发WBS'!N3:N119),0)</x:f>
        <x:v>0</x:v>
      </x:c>
      <x:c r="C13" s="61" t="str">
        <x:v>平均完成度</x:v>
      </x:c>
      <x:c r="D13" s="62" t="str">
        <x:f>IF(B13=1,"达成",IF(B13&gt;0,"进行中","未开始"))</x:f>
        <x:v>未开始</x:v>
      </x:c>
    </x:row>
    <x:row r="14">
      <x:c r="A14" s="60" t="str">
        <x:v>计划总人日</x:v>
      </x:c>
      <x:c r="B14" s="83" t="n">
        <x:f>SUM('开发WBS'!K3:K119)</x:f>
        <x:v>110.5</x:v>
      </x:c>
      <x:c r="C14" s="61" t="str">
        <x:v>估算人日合计</x:v>
      </x:c>
      <x:c r="D14" s="62" t="str">
        <x:v>基线</x:v>
      </x:c>
    </x:row>
    <x:row r="15">
      <x:c r="A15" s="60" t="str">
        <x:v>加权已完成人日</x:v>
      </x:c>
      <x:c r="B15" s="83" t="n">
        <x:f>SUMPRODUCT('开发WBS'!K3:K119,'开发WBS'!N3:N119)</x:f>
        <x:v>0</x:v>
      </x:c>
      <x:c r="C15" s="61" t="str">
        <x:v>人日×完成度</x:v>
      </x:c>
      <x:c r="D15" s="62" t="str">
        <x:f>IF(B15&gt;=B14,"达成","进行中")</x:f>
        <x:v>进行中</x:v>
      </x:c>
    </x:row>
    <x:row r="16">
      <x:c r="A16" s="60" t="str">
        <x:v>功能项总数</x:v>
      </x:c>
      <x:c r="B16" s="61" t="n">
        <x:f>COUNTA('功能清单'!A3:A100)</x:f>
        <x:v>98</x:v>
      </x:c>
      <x:c r="C16" s="61" t="str">
        <x:v>V0.1+后续</x:v>
      </x:c>
      <x:c r="D16" s="62" t="str">
        <x:v>已建立</x:v>
      </x:c>
    </x:row>
    <x:row r="17">
      <x:c r="A17" s="60" t="str">
        <x:v>测试用例总数</x:v>
      </x:c>
      <x:c r="B17" s="61" t="n">
        <x:f>COUNTA('测试矩阵'!A3:A30)</x:f>
        <x:v>28</x:v>
      </x:c>
      <x:c r="C17" s="61" t="str">
        <x:v>核心测试矩阵</x:v>
      </x:c>
      <x:c r="D17" s="62" t="str">
        <x:v>已建立</x:v>
      </x:c>
    </x:row>
    <x:row r="18">
      <x:c r="A18" s="63" t="str">
        <x:v>开放高风险</x:v>
      </x:c>
      <x:c r="B18" s="64" t="n">
        <x:f>COUNTIFS('风险与决策'!B3:B16,"风险",'风险与决策'!G3:G16,"高",'风险与决策'!L3:L16,"&lt;&gt;已关闭")</x:f>
        <x:v>8</x:v>
      </x:c>
      <x:c r="C18" s="64" t="str">
        <x:v>未关闭高等级风险</x:v>
      </x:c>
      <x:c r="D18" s="65" t="str">
        <x:f>IF(B18=0,"正常","需处理")</x:f>
        <x:v>需处理</x:v>
      </x:c>
    </x:row>
    <x:row r="19">
      <x:c r="A19" s="89" t="str">
        <x:v>所需平均FTE</x:v>
      </x:c>
      <x:c r="B19" s="90" t="n">
        <x:f>B14/(B6*5)</x:f>
        <x:v>1.38125</x:v>
      </x:c>
      <x:c r="C19" s="91" t="str">
        <x:v>总人日÷(周期×5工作日)</x:v>
      </x:c>
      <x:c r="D19" s="92" t="str">
        <x:f>IF(B19&lt;=1,"单人可行",IF(B19&lt;=1.5,"建议1.5 FTE","需增加资源"))</x:f>
        <x:v>建议1.5 FTE</x:v>
      </x:c>
    </x:row>
    <x:row r="21">
      <x:c r="A21" s="22" t="str">
        <x:v>周次</x:v>
      </x:c>
      <x:c r="B21" s="23" t="str">
        <x:v>计划完成人日</x:v>
      </x:c>
      <x:c r="C21" s="23" t="str">
        <x:v>已完成人日</x:v>
      </x:c>
      <x:c r="D21" s="23" t="str">
        <x:v>计划结束日期</x:v>
      </x:c>
      <x:c r="E21" s="24" t="str">
        <x:v>阶段说明</x:v>
      </x:c>
    </x:row>
    <x:row r="22">
      <x:c r="A22" s="60" t="n">
        <x:v>1</x:v>
      </x:c>
      <x:c r="B22" s="61" t="n">
        <x:f>SUMIF('开发WBS'!$J$3:$J$119,A22,'开发WBS'!$K$3:$K$119)</x:f>
        <x:v>6.5</x:v>
      </x:c>
      <x:c r="C22" s="61" t="n">
        <x:f>SUMIFS('开发WBS'!$K$3:$K$119,'开发WBS'!$J$3:$J$119,A22,'开发WBS'!$M$3:$M$119,"已完成")</x:f>
        <x:v>0</x:v>
      </x:c>
      <x:c r="D22" s="79" t="n">
        <x:f>$B$5+A22*7-1</x:f>
        <x:v>46229</x:v>
      </x:c>
      <x:c r="E22" s="62" t="str">
        <x:v>P0 技术验证</x:v>
      </x:c>
    </x:row>
    <x:row r="23">
      <x:c r="A23" s="60" t="n">
        <x:v>2</x:v>
      </x:c>
      <x:c r="B23" s="61" t="n">
        <x:f>SUMIF('开发WBS'!$J$3:$J$119,A23,'开发WBS'!$K$3:$K$119)</x:f>
        <x:v>6.5</x:v>
      </x:c>
      <x:c r="C23" s="61" t="n">
        <x:f>SUMIFS('开发WBS'!$K$3:$K$119,'开发WBS'!$J$3:$J$119,A23,'开发WBS'!$M$3:$M$119,"已完成")</x:f>
        <x:v>0</x:v>
      </x:c>
      <x:c r="D23" s="79" t="n">
        <x:f>$B$5+A23*7-1</x:f>
        <x:v>46236</x:v>
      </x:c>
      <x:c r="E23" s="62" t="str">
        <x:v>P1 基础框架</x:v>
      </x:c>
    </x:row>
    <x:row r="24">
      <x:c r="A24" s="60" t="n">
        <x:v>3</x:v>
      </x:c>
      <x:c r="B24" s="61" t="n">
        <x:f>SUMIF('开发WBS'!$J$3:$J$119,A24,'开发WBS'!$K$3:$K$119)</x:f>
        <x:v>4.75</x:v>
      </x:c>
      <x:c r="C24" s="61" t="n">
        <x:f>SUMIFS('开发WBS'!$K$3:$K$119,'开发WBS'!$J$3:$J$119,A24,'开发WBS'!$M$3:$M$119,"已完成")</x:f>
        <x:v>0</x:v>
      </x:c>
      <x:c r="D24" s="79" t="n">
        <x:f>$B$5+A24*7-1</x:f>
        <x:v>46243</x:v>
      </x:c>
      <x:c r="E24" s="62" t="str">
        <x:v>P1 基础框架</x:v>
      </x:c>
    </x:row>
    <x:row r="25">
      <x:c r="A25" s="60" t="n">
        <x:v>4</x:v>
      </x:c>
      <x:c r="B25" s="61" t="n">
        <x:f>SUMIF('开发WBS'!$J$3:$J$119,A25,'开发WBS'!$K$3:$K$119)</x:f>
        <x:v>6.75</x:v>
      </x:c>
      <x:c r="C25" s="61" t="n">
        <x:f>SUMIFS('开发WBS'!$K$3:$K$119,'开发WBS'!$J$3:$J$119,A25,'开发WBS'!$M$3:$M$119,"已完成")</x:f>
        <x:v>0</x:v>
      </x:c>
      <x:c r="D25" s="79" t="n">
        <x:f>$B$5+A25*7-1</x:f>
        <x:v>46250</x:v>
      </x:c>
      <x:c r="E25" s="62" t="str">
        <x:v>P2 设备与采集</x:v>
      </x:c>
    </x:row>
    <x:row r="26">
      <x:c r="A26" s="60" t="n">
        <x:v>5</x:v>
      </x:c>
      <x:c r="B26" s="61" t="n">
        <x:f>SUMIF('开发WBS'!$J$3:$J$119,A26,'开发WBS'!$K$3:$K$119)</x:f>
        <x:v>9.5</x:v>
      </x:c>
      <x:c r="C26" s="61" t="n">
        <x:f>SUMIFS('开发WBS'!$K$3:$K$119,'开发WBS'!$J$3:$J$119,A26,'开发WBS'!$M$3:$M$119,"已完成")</x:f>
        <x:v>0</x:v>
      </x:c>
      <x:c r="D26" s="79" t="n">
        <x:f>$B$5+A26*7-1</x:f>
        <x:v>46257</x:v>
      </x:c>
      <x:c r="E26" s="62" t="str">
        <x:v>P2 设备与采集</x:v>
      </x:c>
    </x:row>
    <x:row r="27">
      <x:c r="A27" s="60" t="n">
        <x:v>6</x:v>
      </x:c>
      <x:c r="B27" s="61" t="n">
        <x:f>SUMIF('开发WBS'!$J$3:$J$119,A27,'开发WBS'!$K$3:$K$119)</x:f>
        <x:v>8</x:v>
      </x:c>
      <x:c r="C27" s="61" t="n">
        <x:f>SUMIFS('开发WBS'!$K$3:$K$119,'开发WBS'!$J$3:$J$119,A27,'开发WBS'!$M$3:$M$119,"已完成")</x:f>
        <x:v>0</x:v>
      </x:c>
      <x:c r="D27" s="79" t="n">
        <x:f>$B$5+A27*7-1</x:f>
        <x:v>46264</x:v>
      </x:c>
      <x:c r="E27" s="62" t="str">
        <x:v>P3 转换与解析</x:v>
      </x:c>
    </x:row>
    <x:row r="28">
      <x:c r="A28" s="60" t="n">
        <x:v>7</x:v>
      </x:c>
      <x:c r="B28" s="61" t="n">
        <x:f>SUMIF('开发WBS'!$J$3:$J$119,A28,'开发WBS'!$K$3:$K$119)</x:f>
        <x:v>5.5</x:v>
      </x:c>
      <x:c r="C28" s="61" t="n">
        <x:f>SUMIFS('开发WBS'!$K$3:$K$119,'开发WBS'!$J$3:$J$119,A28,'开发WBS'!$M$3:$M$119,"已完成")</x:f>
        <x:v>0</x:v>
      </x:c>
      <x:c r="D28" s="79" t="n">
        <x:f>$B$5+A28*7-1</x:f>
        <x:v>46271</x:v>
      </x:c>
      <x:c r="E28" s="62" t="str">
        <x:v>P3 转换与解析</x:v>
      </x:c>
    </x:row>
    <x:row r="29">
      <x:c r="A29" s="60" t="n">
        <x:v>8</x:v>
      </x:c>
      <x:c r="B29" s="61" t="n">
        <x:f>SUMIF('开发WBS'!$J$3:$J$119,A29,'开发WBS'!$K$3:$K$119)</x:f>
        <x:v>7</x:v>
      </x:c>
      <x:c r="C29" s="61" t="n">
        <x:f>SUMIFS('开发WBS'!$K$3:$K$119,'开发WBS'!$J$3:$J$119,A29,'开发WBS'!$M$3:$M$119,"已完成")</x:f>
        <x:v>0</x:v>
      </x:c>
      <x:c r="D29" s="79" t="n">
        <x:f>$B$5+A29*7-1</x:f>
        <x:v>46278</x:v>
      </x:c>
      <x:c r="E29" s="62" t="str">
        <x:v>P4 数据库与聚合</x:v>
      </x:c>
    </x:row>
    <x:row r="30">
      <x:c r="A30" s="60" t="n">
        <x:v>9</x:v>
      </x:c>
      <x:c r="B30" s="61" t="n">
        <x:f>SUMIF('开发WBS'!$J$3:$J$119,A30,'开发WBS'!$K$3:$K$119)</x:f>
        <x:v>6</x:v>
      </x:c>
      <x:c r="C30" s="61" t="n">
        <x:f>SUMIFS('开发WBS'!$K$3:$K$119,'开发WBS'!$J$3:$J$119,A30,'开发WBS'!$M$3:$M$119,"已完成")</x:f>
        <x:v>0</x:v>
      </x:c>
      <x:c r="D30" s="79" t="n">
        <x:f>$B$5+A30*7-1</x:f>
        <x:v>46285</x:v>
      </x:c>
      <x:c r="E30" s="62" t="str">
        <x:v>P4 数据库与聚合</x:v>
      </x:c>
    </x:row>
    <x:row r="31">
      <x:c r="A31" s="60" t="n">
        <x:v>10</x:v>
      </x:c>
      <x:c r="B31" s="61" t="n">
        <x:f>SUMIF('开发WBS'!$J$3:$J$119,A31,'开发WBS'!$K$3:$K$119)</x:f>
        <x:v>8</x:v>
      </x:c>
      <x:c r="C31" s="61" t="n">
        <x:f>SUMIFS('开发WBS'!$K$3:$K$119,'开发WBS'!$J$3:$J$119,A31,'开发WBS'!$M$3:$M$119,"已完成")</x:f>
        <x:v>0</x:v>
      </x:c>
      <x:c r="D31" s="79" t="n">
        <x:f>$B$5+A31*7-1</x:f>
        <x:v>46292</x:v>
      </x:c>
      <x:c r="E31" s="62" t="str">
        <x:v>P5 可视化</x:v>
      </x:c>
    </x:row>
    <x:row r="32">
      <x:c r="A32" s="60" t="n">
        <x:v>11</x:v>
      </x:c>
      <x:c r="B32" s="61" t="n">
        <x:f>SUMIF('开发WBS'!$J$3:$J$119,A32,'开发WBS'!$K$3:$K$119)</x:f>
        <x:v>8</x:v>
      </x:c>
      <x:c r="C32" s="61" t="n">
        <x:f>SUMIFS('开发WBS'!$K$3:$K$119,'开发WBS'!$J$3:$J$119,A32,'开发WBS'!$M$3:$M$119,"已完成")</x:f>
        <x:v>0</x:v>
      </x:c>
      <x:c r="D32" s="79" t="n">
        <x:f>$B$5+A32*7-1</x:f>
        <x:v>46299</x:v>
      </x:c>
      <x:c r="E32" s="62" t="str">
        <x:v>P5 可视化</x:v>
      </x:c>
    </x:row>
    <x:row r="33">
      <x:c r="A33" s="60" t="n">
        <x:v>12</x:v>
      </x:c>
      <x:c r="B33" s="61" t="n">
        <x:f>SUMIF('开发WBS'!$J$3:$J$119,A33,'开发WBS'!$K$3:$K$119)</x:f>
        <x:v>9</x:v>
      </x:c>
      <x:c r="C33" s="61" t="n">
        <x:f>SUMIFS('开发WBS'!$K$3:$K$119,'开发WBS'!$J$3:$J$119,A33,'开发WBS'!$M$3:$M$119,"已完成")</x:f>
        <x:v>0</x:v>
      </x:c>
      <x:c r="D33" s="79" t="n">
        <x:f>$B$5+A33*7-1</x:f>
        <x:v>46306</x:v>
      </x:c>
      <x:c r="E33" s="62" t="str">
        <x:v>P5 可视化</x:v>
      </x:c>
    </x:row>
    <x:row r="34">
      <x:c r="A34" s="60" t="n">
        <x:v>13</x:v>
      </x:c>
      <x:c r="B34" s="61" t="n">
        <x:f>SUMIF('开发WBS'!$J$3:$J$119,A34,'开发WBS'!$K$3:$K$119)</x:f>
        <x:v>6.5</x:v>
      </x:c>
      <x:c r="C34" s="61" t="n">
        <x:f>SUMIFS('开发WBS'!$K$3:$K$119,'开发WBS'!$J$3:$J$119,A34,'开发WBS'!$M$3:$M$119,"已完成")</x:f>
        <x:v>0</x:v>
      </x:c>
      <x:c r="D34" s="79" t="n">
        <x:f>$B$5+A34*7-1</x:f>
        <x:v>46313</x:v>
      </x:c>
      <x:c r="E34" s="62" t="str">
        <x:v>P6 自动分析</x:v>
      </x:c>
    </x:row>
    <x:row r="35">
      <x:c r="A35" s="60" t="n">
        <x:v>14</x:v>
      </x:c>
      <x:c r="B35" s="61" t="n">
        <x:f>SUMIF('开发WBS'!$J$3:$J$119,A35,'开发WBS'!$K$3:$K$119)</x:f>
        <x:v>6.5</x:v>
      </x:c>
      <x:c r="C35" s="61" t="n">
        <x:f>SUMIFS('开发WBS'!$K$3:$K$119,'开发WBS'!$J$3:$J$119,A35,'开发WBS'!$M$3:$M$119,"已完成")</x:f>
        <x:v>0</x:v>
      </x:c>
      <x:c r="D35" s="79" t="n">
        <x:f>$B$5+A35*7-1</x:f>
        <x:v>46320</x:v>
      </x:c>
      <x:c r="E35" s="62" t="str">
        <x:v>P6 自动分析</x:v>
      </x:c>
    </x:row>
    <x:row r="36">
      <x:c r="A36" s="60" t="n">
        <x:v>15</x:v>
      </x:c>
      <x:c r="B36" s="61" t="n">
        <x:f>SUMIF('开发WBS'!$J$3:$J$119,A36,'开发WBS'!$K$3:$K$119)</x:f>
        <x:v>7.25</x:v>
      </x:c>
      <x:c r="C36" s="61" t="n">
        <x:f>SUMIFS('开发WBS'!$K$3:$K$119,'开发WBS'!$J$3:$J$119,A36,'开发WBS'!$M$3:$M$119,"已完成")</x:f>
        <x:v>0</x:v>
      </x:c>
      <x:c r="D36" s="79" t="n">
        <x:f>$B$5+A36*7-1</x:f>
        <x:v>46327</x:v>
      </x:c>
      <x:c r="E36" s="62" t="str">
        <x:v>P7 稳定与发布</x:v>
      </x:c>
    </x:row>
    <x:row r="37">
      <x:c r="A37" s="63" t="n">
        <x:v>16</x:v>
      </x:c>
      <x:c r="B37" s="64" t="n">
        <x:f>SUMIF('开发WBS'!$J$3:$J$119,A37,'开发WBS'!$K$3:$K$119)</x:f>
        <x:v>4.75</x:v>
      </x:c>
      <x:c r="C37" s="64" t="n">
        <x:f>SUMIFS('开发WBS'!$K$3:$K$119,'开发WBS'!$J$3:$J$119,A37,'开发WBS'!$M$3:$M$119,"已完成")</x:f>
        <x:v>0</x:v>
      </x:c>
      <x:c r="D37" s="85" t="n">
        <x:f>$B$5+A37*7-1</x:f>
        <x:v>46334</x:v>
      </x:c>
      <x:c r="E37" s="65" t="str">
        <x:v>P7 稳定与发布</x:v>
      </x:c>
    </x:row>
  </x:sheetData>
  <x:mergeCells>
    <x:mergeCell ref="A1:H1"/>
    <x:mergeCell ref="A2:H2"/>
  </x:mergeCells>
  <x:conditionalFormatting sqref="D11:D18">
    <x:cfRule type="expression" dxfId="11" priority="1">
      <x:formula>OR(D11="达成",D11="全部完成",D11="正常",D11="已建立")</x:formula>
    </x:cfRule>
    <x:cfRule type="expression" dxfId="12" priority="2">
      <x:formula>OR(D11="需处理",D11="缺失")</x:formula>
    </x:cfRule>
  </x:conditionalFormatting>
  <x:conditionalFormatting sqref="D19:D19">
    <x:cfRule type="expression" dxfId="13" priority="3">
      <x:formula>D19="建议1.5 FTE"</x:formula>
    </x:cfRule>
  </x:conditionalFormatting>
  <x:pageMargins left="0.7" right="0.7" top="0.75" bottom="0.75" header="0.3" footer="0.3"/>
  <x:drawing xmlns:r="http://schemas.openxmlformats.org/officeDocument/2006/relationships" r:id="R3022181e14484d0d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9" hidden="0" customWidth="1"/>
    <x:col min="4" max="4" width="28" hidden="0" customWidth="1"/>
    <x:col min="5" max="5" width="34" hidden="0" customWidth="1"/>
    <x:col min="6" max="6" width="28" hidden="0" customWidth="1"/>
    <x:col min="7" max="7" width="32" hidden="0" customWidth="1"/>
    <x:col min="8" max="8" width="10" hidden="0" customWidth="1"/>
    <x:col min="9" max="9" width="10" hidden="0" customWidth="1"/>
    <x:col min="10" max="10" width="11" hidden="0" customWidth="1"/>
    <x:col min="11" max="11" width="12" hidden="0" customWidth="1"/>
    <x:col min="12" max="12" width="24" hidden="0" customWidth="1"/>
  </x:cols>
  <x:sheetData>
    <x:row r="1" ht="28" customHeight="1">
      <x:c r="A1" s="5" t="str">
        <x:v>V0.1 里程碑与阶段门禁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22" t="str">
        <x:v>里程碑ID</x:v>
      </x:c>
      <x:c r="B2" s="23" t="str">
        <x:v>阶段</x:v>
      </x:c>
      <x:c r="C2" s="23" t="str">
        <x:v>目标周</x:v>
      </x:c>
      <x:c r="D2" s="23" t="str">
        <x:v>阶段目标</x:v>
      </x:c>
      <x:c r="E2" s="23" t="str">
        <x:v>关键交付物</x:v>
      </x:c>
      <x:c r="F2" s="23" t="str">
        <x:v>进入条件</x:v>
      </x:c>
      <x:c r="G2" s="23" t="str">
        <x:v>退出条件</x:v>
      </x:c>
      <x:c r="H2" s="23" t="str">
        <x:v>计划人日</x:v>
      </x:c>
      <x:c r="I2" s="23" t="str">
        <x:v>完成度</x:v>
      </x:c>
      <x:c r="J2" s="23" t="str">
        <x:v>状态</x:v>
      </x:c>
      <x:c r="K2" s="23" t="str">
        <x:v>负责人</x:v>
      </x:c>
      <x:c r="L2" s="24" t="str">
        <x:v>主要风险</x:v>
      </x:c>
    </x:row>
    <x:row r="3">
      <x:c r="A3" s="25" t="str">
        <x:v>M0</x:v>
      </x:c>
      <x:c r="B3" s="20" t="str">
        <x:v>P0 技术验证</x:v>
      </x:c>
      <x:c r="C3" s="20" t="n">
        <x:v>1</x:v>
      </x:c>
      <x:c r="D3" s="20" t="str">
        <x:v>打通采集→转换→解析→最小展示链路</x:v>
      </x:c>
      <x:c r="E3" s="20" t="str">
        <x:v>PoC工程、perf.data、proto解析器PoC、Top函数页</x:v>
      </x:c>
      <x:c r="F3" s="20" t="str">
        <x:v>开发环境可用</x:v>
      </x:c>
      <x:c r="G3" s="20" t="str">
        <x:v>真实设备链路端到端通过</x:v>
      </x:c>
      <x:c r="H3" s="20" t="n">
        <x:v>6.5</x:v>
      </x:c>
      <x:c r="I3" s="71" t="n">
        <x:f>IFERROR(SUMIF('开发WBS'!$B$3:$B$119,"P0 技术验证",'开发WBS'!$N$3:$N$119)/COUNTIF('开发WBS'!$B$3:$B$119,"P0 技术验证"),0)</x:f>
        <x:v>0</x:v>
      </x:c>
      <x:c r="J3" s="20" t="str">
        <x:f>IF(I3=1,"已完成",IF(I3&gt;0,"进行中","未开始"))</x:f>
        <x:v>未开始</x:v>
      </x:c>
      <x:c r="K3" s="20" t="str">
        <x:v>未分配</x:v>
      </x:c>
      <x:c r="L3" s="26" t="str">
        <x:v>Simpleperf版本兼容</x:v>
      </x:c>
    </x:row>
    <x:row r="4">
      <x:c r="A4" s="25" t="str">
        <x:v>M1</x:v>
      </x:c>
      <x:c r="B4" s="20" t="str">
        <x:v>P1 基础框架</x:v>
      </x:c>
      <x:c r="C4" s="20" t="n">
        <x:v>3</x:v>
      </x:c>
      <x:c r="D4" s="20" t="str">
        <x:v>完成可演进的多模块基础框架</x:v>
      </x:c>
      <x:c r="E4" s="20" t="str">
        <x:v>状态机、错误模型、日志、配置、CI</x:v>
      </x:c>
      <x:c r="F4" s="20" t="str">
        <x:v>M0通过</x:v>
      </x:c>
      <x:c r="G4" s="20" t="str">
        <x:v>核心模块编译和单测通过</x:v>
      </x:c>
      <x:c r="H4" s="20" t="n">
        <x:v>10.25</x:v>
      </x:c>
      <x:c r="I4" s="71" t="n">
        <x:f>IFERROR(SUMIF('开发WBS'!$B$3:$B$119,"P1 基础框架",'开发WBS'!$N$3:$N$119)/COUNTIF('开发WBS'!$B$3:$B$119,"P1 基础框架"),0)</x:f>
        <x:v>0</x:v>
      </x:c>
      <x:c r="J4" s="20" t="str">
        <x:f>IF(I4=1,"已完成",IF(I4&gt;0,"进行中","未开始"))</x:f>
        <x:v>未开始</x:v>
      </x:c>
      <x:c r="K4" s="20" t="str">
        <x:v>未分配</x:v>
      </x:c>
      <x:c r="L4" s="26" t="str">
        <x:v>架构过度设计</x:v>
      </x:c>
    </x:row>
    <x:row r="5">
      <x:c r="A5" s="25" t="str">
        <x:v>M2</x:v>
      </x:c>
      <x:c r="B5" s="20" t="str">
        <x:v>P2 设备与采集</x:v>
      </x:c>
      <x:c r="C5" s="20" t="n">
        <x:v>5</x:v>
      </x:c>
      <x:c r="D5" s="20" t="str">
        <x:v>完成稳定的一键采集</x:v>
      </x:c>
      <x:c r="E5" s="20" t="str">
        <x:v>设备/进程/能力、配置、开始停止取消、拉取</x:v>
      </x:c>
      <x:c r="F5" s="20" t="str">
        <x:v>M1通过</x:v>
      </x:c>
      <x:c r="G5" s="20" t="str">
        <x:v>真实设备连续采集20次无阻断缺陷</x:v>
      </x:c>
      <x:c r="H5" s="20" t="n">
        <x:v>16.5</x:v>
      </x:c>
      <x:c r="I5" s="71" t="n">
        <x:f>IFERROR(SUMIF('开发WBS'!$B$3:$B$119,"P2 设备与采集",'开发WBS'!$N$3:$N$119)/COUNTIF('开发WBS'!$B$3:$B$119,"P2 设备与采集"),0)</x:f>
        <x:v>0</x:v>
      </x:c>
      <x:c r="J5" s="20" t="str">
        <x:f>IF(I5=1,"已完成",IF(I5&gt;0,"进行中","未开始"))</x:f>
        <x:v>未开始</x:v>
      </x:c>
      <x:c r="K5" s="20" t="str">
        <x:v>未授权设备、ADB断连</x:v>
      </x:c>
      <x:c r="L5" s="26"/>
    </x:row>
    <x:row r="6">
      <x:c r="A6" s="25" t="str">
        <x:v>M3</x:v>
      </x:c>
      <x:c r="B6" s="20" t="str">
        <x:v>P3 转换与解析</x:v>
      </x:c>
      <x:c r="C6" s="20" t="n">
        <x:v>7</x:v>
      </x:c>
      <x:c r="D6" s="20" t="str">
        <x:v>完成可靠流式解析</x:v>
      </x:c>
      <x:c r="E6" s="20" t="str">
        <x:v>转换器、全部Record、进度、Golden测试</x:v>
      </x:c>
      <x:c r="F6" s="20" t="str">
        <x:v>M2可产出perf.data</x:v>
      </x:c>
      <x:c r="G6" s="20" t="str">
        <x:v>正常/损坏/大文件均有明确结果</x:v>
      </x:c>
      <x:c r="H6" s="20" t="n">
        <x:v>15</x:v>
      </x:c>
      <x:c r="I6" s="71" t="n">
        <x:f>IFERROR(SUMIF('开发WBS'!$B$3:$B$119,"P3 转换与解析",'开发WBS'!$N$3:$N$119)/COUNTIF('开发WBS'!$B$3:$B$119,"P3 转换与解析"),0)</x:f>
        <x:v>0</x:v>
      </x:c>
      <x:c r="J6" s="20" t="str">
        <x:f>IF(I6=1,"已完成",IF(I6&gt;0,"进行中","未开始"))</x:f>
        <x:v>未开始</x:v>
      </x:c>
      <x:c r="K6" s="20" t="str">
        <x:v>协议差异、符号质量</x:v>
      </x:c>
      <x:c r="L6" s="26"/>
    </x:row>
    <x:row r="7">
      <x:c r="A7" s="25" t="str">
        <x:v>M4</x:v>
      </x:c>
      <x:c r="B7" s="20" t="str">
        <x:v>P4 数据库与聚合</x:v>
      </x:c>
      <x:c r="C7" s="20" t="n">
        <x:v>9</x:v>
      </x:c>
      <x:c r="D7" s="20" t="str">
        <x:v>完成百万样本存储与查询</x:v>
      </x:c>
      <x:c r="E7" s="20" t="str">
        <x:v>Schema、批量写入、Intern、聚合、索引</x:v>
      </x:c>
      <x:c r="F7" s="20" t="str">
        <x:v>M3统一模型稳定</x:v>
      </x:c>
      <x:c r="G7" s="20" t="str">
        <x:v>统计正确且性能达到阶段基线</x:v>
      </x:c>
      <x:c r="H7" s="20" t="n">
        <x:v>13.75</x:v>
      </x:c>
      <x:c r="I7" s="71" t="n">
        <x:f>IFERROR(SUMIF('开发WBS'!$B$3:$B$119,"P4 数据库与聚合",'开发WBS'!$N$3:$N$119)/COUNTIF('开发WBS'!$B$3:$B$119,"P4 数据库与聚合"),0)</x:f>
        <x:v>0</x:v>
      </x:c>
      <x:c r="J7" s="20" t="str">
        <x:f>IF(I7=1,"已完成",IF(I7&gt;0,"进行中","未开始"))</x:f>
        <x:v>未开始</x:v>
      </x:c>
      <x:c r="K7" s="20" t="str">
        <x:v>内存和数据库性能</x:v>
      </x:c>
      <x:c r="L7" s="26"/>
    </x:row>
    <x:row r="8">
      <x:c r="A8" s="25" t="str">
        <x:v>M5</x:v>
      </x:c>
      <x:c r="B8" s="20" t="str">
        <x:v>P5 可视化</x:v>
      </x:c>
      <x:c r="C8" s="20" t="n">
        <x:v>12</x:v>
      </x:c>
      <x:c r="D8" s="20" t="str">
        <x:v>完成首版分析交互</x:v>
      </x:c>
      <x:c r="E8" s="20" t="str">
        <x:v>Overview、Threads、Functions、CallTree、FlameGraph、Timeline</x:v>
      </x:c>
      <x:c r="F8" s="20" t="str">
        <x:v>M4查询接口稳定</x:v>
      </x:c>
      <x:c r="G8" s="20" t="str">
        <x:v>核心页面可完成一次人工分析</x:v>
      </x:c>
      <x:c r="H8" s="20" t="n">
        <x:v>24.25</x:v>
      </x:c>
      <x:c r="I8" s="71" t="n">
        <x:f>IFERROR(SUMIF('开发WBS'!$B$3:$B$119,"P5 可视化",'开发WBS'!$N$3:$N$119)/COUNTIF('开发WBS'!$B$3:$B$119,"P5 可视化"),0)</x:f>
        <x:v>0</x:v>
      </x:c>
      <x:c r="J8" s="20" t="str">
        <x:f>IF(I8=1,"已完成",IF(I8&gt;0,"进行中","未开始"))</x:f>
        <x:v>未开始</x:v>
      </x:c>
      <x:c r="K8" s="20" t="str">
        <x:v>大数据UI卡顿</x:v>
      </x:c>
      <x:c r="L8" s="26"/>
    </x:row>
    <x:row r="9">
      <x:c r="A9" s="25" t="str">
        <x:v>M6</x:v>
      </x:c>
      <x:c r="B9" s="20" t="str">
        <x:v>P6 自动分析</x:v>
      </x:c>
      <x:c r="C9" s="20" t="n">
        <x:v>14</x:v>
      </x:c>
      <x:c r="D9" s="20" t="str">
        <x:v>完成基础规则和证据链</x:v>
      </x:c>
      <x:c r="E9" s="20" t="str">
        <x:v>质量规则、Android热点规则、置信度</x:v>
      </x:c>
      <x:c r="F9" s="20" t="str">
        <x:v>M5页面可复查证据</x:v>
      </x:c>
      <x:c r="G9" s="20" t="str">
        <x:v>规则Golden测试通过且无过度结论</x:v>
      </x:c>
      <x:c r="H9" s="20" t="n">
        <x:v>12.25</x:v>
      </x:c>
      <x:c r="I9" s="71" t="n">
        <x:f>IFERROR(SUMIF('开发WBS'!$B$3:$B$119,"P6 自动分析",'开发WBS'!$N$3:$N$119)/COUNTIF('开发WBS'!$B$3:$B$119,"P6 自动分析"),0)</x:f>
        <x:v>0</x:v>
      </x:c>
      <x:c r="J9" s="20" t="str">
        <x:f>IF(I9=1,"已完成",IF(I9&gt;0,"进行中","未开始"))</x:f>
        <x:v>未开始</x:v>
      </x:c>
      <x:c r="K9" s="20" t="str">
        <x:v>误报和符号差异</x:v>
      </x:c>
      <x:c r="L9" s="26"/>
    </x:row>
    <x:row r="10">
      <x:c r="A10" s="27" t="str">
        <x:v>M7</x:v>
      </x:c>
      <x:c r="B10" s="28" t="str">
        <x:v>P7 稳定与发布</x:v>
      </x:c>
      <x:c r="C10" s="28" t="n">
        <x:v>16</x:v>
      </x:c>
      <x:c r="D10" s="28" t="str">
        <x:v>发布V0.1</x:v>
      </x:c>
      <x:c r="E10" s="28" t="str">
        <x:v>恢复、导出、性能、安装包、文档、许可证</x:v>
      </x:c>
      <x:c r="F10" s="28" t="str">
        <x:v>M6完成</x:v>
      </x:c>
      <x:c r="G10" s="28" t="str">
        <x:v>P0/P1缺陷清零并生成发行包</x:v>
      </x:c>
      <x:c r="H10" s="28" t="n">
        <x:v>12</x:v>
      </x:c>
      <x:c r="I10" s="72" t="n">
        <x:f>IFERROR(SUMIF('开发WBS'!$B$3:$B$119,"P7 稳定与发布",'开发WBS'!$N$3:$N$119)/COUNTIF('开发WBS'!$B$3:$B$119,"P7 稳定与发布"),0)</x:f>
        <x:v>0</x:v>
      </x:c>
      <x:c r="J10" s="28" t="str">
        <x:f>IF(I10=1,"已完成",IF(I10&gt;0,"进行中","未开始"))</x:f>
        <x:v>未开始</x:v>
      </x:c>
      <x:c r="K10" s="28" t="str">
        <x:v>跨平台打包和签名</x:v>
      </x:c>
      <x:c r="L10" s="29"/>
    </x:row>
  </x:sheetData>
  <x:mergeCells>
    <x:mergeCell ref="A1:L1"/>
  </x:mergeCells>
  <x:conditionalFormatting sqref="I3:I10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{65E63F76-6C87-47A8-E030-5FF1BF2404BF}</x14:id>
        </x:ext>
      </x:extLst>
    </x:cfRule>
  </x:conditionalFormatting>
  <x:conditionalFormatting sqref="J3:J10">
    <x:cfRule type="expression" dxfId="9" priority="2">
      <x:formula>J3="已完成"</x:formula>
    </x:cfRule>
    <x:cfRule type="expression" dxfId="10" priority="3">
      <x:formula>J3="进行中"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950e6f951e42d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5E63F76-6C87-47A8-E030-5FF1BF2404BF}">
            <x14:dataBar gradient="1">
              <x14:cfvo type="min"/>
              <x14:cfvo type="max"/>
              <x14:fillColor rgb="FF4F81BD"/>
            </x14:dataBar>
          </x14:cfRule>
          <xm:sqref>I3:I10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24" hidden="0" customWidth="1"/>
    <x:col min="5" max="5" width="38" hidden="0" customWidth="1"/>
    <x:col min="6" max="6" width="26" hidden="0" customWidth="1"/>
    <x:col min="7" max="7" width="9" hidden="0" customWidth="1"/>
    <x:col min="8" max="8" width="12" hidden="0" customWidth="1"/>
    <x:col min="9" max="9" width="11" hidden="0" customWidth="1"/>
    <x:col min="10" max="10" width="11" hidden="0" customWidth="1"/>
    <x:col min="11" max="11" width="10" hidden="0" customWidth="1"/>
    <x:col min="12" max="12" width="18" hidden="0" customWidth="1"/>
    <x:col min="13" max="13" width="11" hidden="0" customWidth="1"/>
    <x:col min="14" max="14" width="10" hidden="0" customWidth="1"/>
    <x:col min="15" max="15" width="38" hidden="0" customWidth="1"/>
    <x:col min="16" max="16" width="28" hidden="0" customWidth="1"/>
    <x:col min="17" max="17" width="20" hidden="0" customWidth="1"/>
  </x:cols>
  <x:sheetData>
    <x:row r="1" ht="28" customHeight="1">
      <x:c r="A1" s="5" t="str">
        <x:v>Simpleperf独立客户端 V0.1 开发WBS（1.5 FTE / 16周基线）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8" customHeight="1">
      <x:c r="A2" s="38" t="str">
        <x:v>任务ID</x:v>
      </x:c>
      <x:c r="B2" s="39" t="str">
        <x:v>阶段</x:v>
      </x:c>
      <x:c r="C2" s="39" t="str">
        <x:v>模块</x:v>
      </x:c>
      <x:c r="D2" s="39" t="str">
        <x:v>任务名称</x:v>
      </x:c>
      <x:c r="E2" s="39" t="str">
        <x:v>详细说明</x:v>
      </x:c>
      <x:c r="F2" s="39" t="str">
        <x:v>交付物</x:v>
      </x:c>
      <x:c r="G2" s="39" t="str">
        <x:v>优先级</x:v>
      </x:c>
      <x:c r="H2" s="39" t="str">
        <x:v>负责人</x:v>
      </x:c>
      <x:c r="I2" s="39" t="str">
        <x:v>计划开始周</x:v>
      </x:c>
      <x:c r="J2" s="39" t="str">
        <x:v>计划结束周</x:v>
      </x:c>
      <x:c r="K2" s="39" t="str">
        <x:v>估算人日</x:v>
      </x:c>
      <x:c r="L2" s="39" t="str">
        <x:v>前置依赖</x:v>
      </x:c>
      <x:c r="M2" s="39" t="str">
        <x:v>当前状态</x:v>
      </x:c>
      <x:c r="N2" s="39" t="str">
        <x:v>完成度</x:v>
      </x:c>
      <x:c r="O2" s="39" t="str">
        <x:v>验收标准</x:v>
      </x:c>
      <x:c r="P2" s="39" t="str">
        <x:v>测试/验证</x:v>
      </x:c>
      <x:c r="Q2" s="40" t="str">
        <x:v>备注</x:v>
      </x:c>
    </x:row>
    <x:row r="3">
      <x:c r="A3" s="41" t="str">
        <x:v>P0-001</x:v>
      </x:c>
      <x:c r="B3" s="42" t="str">
        <x:v>P0 技术验证</x:v>
      </x:c>
      <x:c r="C3" s="42" t="str">
        <x:v>工程初始化</x:v>
      </x:c>
      <x:c r="D3" s="42" t="str">
        <x:v>建立Compose Desktop工程</x:v>
      </x:c>
      <x:c r="E3" s="42" t="str">
        <x:v>创建Kotlin/Compose Desktop项目，确认JDK、Gradle、打包插件版本。</x:v>
      </x:c>
      <x:c r="F3" s="42" t="str">
        <x:v>可运行的桌面空壳工程</x:v>
      </x:c>
      <x:c r="G3" s="42" t="str">
        <x:v>P0</x:v>
      </x:c>
      <x:c r="H3" s="42" t="str">
        <x:v>未分配</x:v>
      </x:c>
      <x:c r="I3" s="42" t="n">
        <x:v>1</x:v>
      </x:c>
      <x:c r="J3" s="42" t="n">
        <x:v>1</x:v>
      </x:c>
      <x:c r="K3" s="42" t="n">
        <x:v>0.5</x:v>
      </x:c>
      <x:c r="L3" s="42" t="str"/>
      <x:c r="M3" s="42" t="str">
        <x:v>未开始</x:v>
      </x:c>
      <x:c r="N3" s="56" t="n">
        <x:v>0</x:v>
      </x:c>
      <x:c r="O3" s="42" t="str">
        <x:v>macOS/Windows至少一个平台可启动主窗口</x:v>
      </x:c>
      <x:c r="P3" s="42" t="str">
        <x:v>本地启动冒烟测试</x:v>
      </x:c>
      <x:c r="Q3" s="43" t="str"/>
    </x:row>
    <x:row r="4">
      <x:c r="A4" s="41" t="str">
        <x:v>P0-002</x:v>
      </x:c>
      <x:c r="B4" s="42" t="str">
        <x:v>P0 技术验证</x:v>
      </x:c>
      <x:c r="C4" s="42" t="str">
        <x:v>工程初始化</x:v>
      </x:c>
      <x:c r="D4" s="42" t="str">
        <x:v>建立多模块骨架</x:v>
      </x:c>
      <x:c r="E4" s="42" t="str">
        <x:v>创建app-desktop、core-domain、device-adb、device-simpleperf、importer等模块占位。</x:v>
      </x:c>
      <x:c r="F4" s="42" t="str">
        <x:v>Gradle多模块骨架</x:v>
      </x:c>
      <x:c r="G4" s="42" t="str">
        <x:v>P0</x:v>
      </x:c>
      <x:c r="H4" s="42" t="str">
        <x:v>未分配</x:v>
      </x:c>
      <x:c r="I4" s="42" t="n">
        <x:v>1</x:v>
      </x:c>
      <x:c r="J4" s="42" t="n">
        <x:v>1</x:v>
      </x:c>
      <x:c r="K4" s="42" t="n">
        <x:v>0.5</x:v>
      </x:c>
      <x:c r="L4" s="42" t="str">
        <x:v>P0-001</x:v>
      </x:c>
      <x:c r="M4" s="42" t="str">
        <x:v>未开始</x:v>
      </x:c>
      <x:c r="N4" s="56" t="n">
        <x:v>0</x:v>
      </x:c>
      <x:c r="O4" s="42" t="str">
        <x:v>所有模块可编译，依赖方向无循环</x:v>
      </x:c>
      <x:c r="P4" s="42" t="str">
        <x:v>./gradlew build</x:v>
      </x:c>
      <x:c r="Q4" s="43" t="str"/>
    </x:row>
    <x:row r="5">
      <x:c r="A5" s="41" t="str">
        <x:v>P0-003</x:v>
      </x:c>
      <x:c r="B5" s="42" t="str">
        <x:v>P0 技术验证</x:v>
      </x:c>
      <x:c r="C5" s="42" t="str">
        <x:v>命令执行</x:v>
      </x:c>
      <x:c r="D5" s="42" t="str">
        <x:v>实现Host子进程执行PoC</x:v>
      </x:c>
      <x:c r="E5" s="42" t="str">
        <x:v>支持参数数组、stdout/stderr、退出码、超时和取消。</x:v>
      </x:c>
      <x:c r="F5" s="42" t="str">
        <x:v>CommandExecutor PoC</x:v>
      </x:c>
      <x:c r="G5" s="42" t="str">
        <x:v>P0</x:v>
      </x:c>
      <x:c r="H5" s="42" t="str">
        <x:v>未分配</x:v>
      </x:c>
      <x:c r="I5" s="42" t="n">
        <x:v>1</x:v>
      </x:c>
      <x:c r="J5" s="42" t="n">
        <x:v>1</x:v>
      </x:c>
      <x:c r="K5" s="42" t="n">
        <x:v>0.5</x:v>
      </x:c>
      <x:c r="L5" s="42" t="str">
        <x:v>P0-001</x:v>
      </x:c>
      <x:c r="M5" s="42" t="str">
        <x:v>未开始</x:v>
      </x:c>
      <x:c r="N5" s="56" t="n">
        <x:v>0</x:v>
      </x:c>
      <x:c r="O5" s="42" t="str">
        <x:v>可稳定执行adb version并捕获输出</x:v>
      </x:c>
      <x:c r="P5" s="42" t="str">
        <x:v>单元测试+真实命令</x:v>
      </x:c>
      <x:c r="Q5" s="43" t="str"/>
    </x:row>
    <x:row r="6">
      <x:c r="A6" s="41" t="str">
        <x:v>P0-004</x:v>
      </x:c>
      <x:c r="B6" s="42" t="str">
        <x:v>P0 技术验证</x:v>
      </x:c>
      <x:c r="C6" s="42" t="str">
        <x:v>ADB</x:v>
      </x:c>
      <x:c r="D6" s="42" t="str">
        <x:v>发现ADB设备</x:v>
      </x:c>
      <x:c r="E6" s="42" t="str">
        <x:v>调用adb devices -l并解析设备状态。</x:v>
      </x:c>
      <x:c r="F6" s="42" t="str">
        <x:v>设备列表PoC</x:v>
      </x:c>
      <x:c r="G6" s="42" t="str">
        <x:v>P0</x:v>
      </x:c>
      <x:c r="H6" s="42" t="str">
        <x:v>未分配</x:v>
      </x:c>
      <x:c r="I6" s="42" t="n">
        <x:v>1</x:v>
      </x:c>
      <x:c r="J6" s="42" t="n">
        <x:v>1</x:v>
      </x:c>
      <x:c r="K6" s="42" t="n">
        <x:v>0.5</x:v>
      </x:c>
      <x:c r="L6" s="42" t="str">
        <x:v>P0-003</x:v>
      </x:c>
      <x:c r="M6" s="42" t="str">
        <x:v>未开始</x:v>
      </x:c>
      <x:c r="N6" s="56" t="n">
        <x:v>0</x:v>
      </x:c>
      <x:c r="O6" s="42" t="str">
        <x:v>能区分device/offline/unauthorized</x:v>
      </x:c>
      <x:c r="P6" s="42" t="str">
        <x:v>连接三种状态设备验证</x:v>
      </x:c>
      <x:c r="Q6" s="43" t="str"/>
    </x:row>
    <x:row r="7">
      <x:c r="A7" s="41" t="str">
        <x:v>P0-005</x:v>
      </x:c>
      <x:c r="B7" s="42" t="str">
        <x:v>P0 技术验证</x:v>
      </x:c>
      <x:c r="C7" s="42" t="str">
        <x:v>ADB</x:v>
      </x:c>
      <x:c r="D7" s="42" t="str">
        <x:v>读取设备基础信息</x:v>
      </x:c>
      <x:c r="E7" s="42" t="str">
        <x:v>获取ABI、SDK、Build fingerprint、ro.debuggable。</x:v>
      </x:c>
      <x:c r="F7" s="42" t="str">
        <x:v>DeviceInfo PoC</x:v>
      </x:c>
      <x:c r="G7" s="42" t="str">
        <x:v>P0</x:v>
      </x:c>
      <x:c r="H7" s="42" t="str">
        <x:v>未分配</x:v>
      </x:c>
      <x:c r="I7" s="42" t="n">
        <x:v>1</x:v>
      </x:c>
      <x:c r="J7" s="42" t="n">
        <x:v>1</x:v>
      </x:c>
      <x:c r="K7" s="42" t="n">
        <x:v>0.5</x:v>
      </x:c>
      <x:c r="L7" s="42" t="str">
        <x:v>P0-004</x:v>
      </x:c>
      <x:c r="M7" s="42" t="str">
        <x:v>未开始</x:v>
      </x:c>
      <x:c r="N7" s="56" t="n">
        <x:v>0</x:v>
      </x:c>
      <x:c r="O7" s="42" t="str">
        <x:v>基础设备字段完整且解析稳定</x:v>
      </x:c>
      <x:c r="P7" s="42" t="str">
        <x:v>两台不同设备验证</x:v>
      </x:c>
      <x:c r="Q7" s="43" t="str"/>
    </x:row>
    <x:row r="8">
      <x:c r="A8" s="41" t="str">
        <x:v>P0-006</x:v>
      </x:c>
      <x:c r="B8" s="42" t="str">
        <x:v>P0 技术验证</x:v>
      </x:c>
      <x:c r="C8" s="42" t="str">
        <x:v>Simpleperf</x:v>
      </x:c>
      <x:c r="D8" s="42" t="str">
        <x:v>探测Simpleperf</x:v>
      </x:c>
      <x:c r="E8" s="42" t="str">
        <x:v>检测设备端simpleperf路径、版本和list能力。</x:v>
      </x:c>
      <x:c r="F8" s="42" t="str">
        <x:v>Simpleperf能力PoC</x:v>
      </x:c>
      <x:c r="G8" s="42" t="str">
        <x:v>P0</x:v>
      </x:c>
      <x:c r="H8" s="42" t="str">
        <x:v>未分配</x:v>
      </x:c>
      <x:c r="I8" s="42" t="n">
        <x:v>1</x:v>
      </x:c>
      <x:c r="J8" s="42" t="n">
        <x:v>1</x:v>
      </x:c>
      <x:c r="K8" s="42" t="n">
        <x:v>0.5</x:v>
      </x:c>
      <x:c r="L8" s="42" t="str">
        <x:v>P0-005</x:v>
      </x:c>
      <x:c r="M8" s="42" t="str">
        <x:v>未开始</x:v>
      </x:c>
      <x:c r="N8" s="56" t="n">
        <x:v>0</x:v>
      </x:c>
      <x:c r="O8" s="42" t="str">
        <x:v>能明确返回可用/不可用及原因</x:v>
      </x:c>
      <x:c r="P8" s="42" t="str">
        <x:v>user/userdebug设备验证</x:v>
      </x:c>
      <x:c r="Q8" s="43" t="str"/>
    </x:row>
    <x:row r="9">
      <x:c r="A9" s="41" t="str">
        <x:v>P0-007</x:v>
      </x:c>
      <x:c r="B9" s="42" t="str">
        <x:v>P0 技术验证</x:v>
      </x:c>
      <x:c r="C9" s="42" t="str">
        <x:v>采集</x:v>
      </x:c>
      <x:c r="D9" s="42" t="str">
        <x:v>完成一次CPU采集</x:v>
      </x:c>
      <x:c r="E9" s="42" t="str">
        <x:v>对指定PID执行10秒cpu-clock采集。</x:v>
      </x:c>
      <x:c r="F9" s="42" t="str">
        <x:v>设备端perf.data</x:v>
      </x:c>
      <x:c r="G9" s="42" t="str">
        <x:v>P0</x:v>
      </x:c>
      <x:c r="H9" s="42" t="str">
        <x:v>未分配</x:v>
      </x:c>
      <x:c r="I9" s="42" t="n">
        <x:v>1</x:v>
      </x:c>
      <x:c r="J9" s="42" t="n">
        <x:v>1</x:v>
      </x:c>
      <x:c r="K9" s="42" t="n">
        <x:v>1</x:v>
      </x:c>
      <x:c r="L9" s="42" t="str">
        <x:v>P0-006</x:v>
      </x:c>
      <x:c r="M9" s="42" t="str">
        <x:v>未开始</x:v>
      </x:c>
      <x:c r="N9" s="56" t="n">
        <x:v>0</x:v>
      </x:c>
      <x:c r="O9" s="42" t="str">
        <x:v>perf.data非空且simpleperf report可读取</x:v>
      </x:c>
      <x:c r="P9" s="42" t="str">
        <x:v>真实应用进程采集</x:v>
      </x:c>
      <x:c r="Q9" s="43" t="str"/>
    </x:row>
    <x:row r="10">
      <x:c r="A10" s="41" t="str">
        <x:v>P0-008</x:v>
      </x:c>
      <x:c r="B10" s="42" t="str">
        <x:v>P0 技术验证</x:v>
      </x:c>
      <x:c r="C10" s="42" t="str">
        <x:v>文件传输</x:v>
      </x:c>
      <x:c r="D10" s="42" t="str">
        <x:v>拉取perf.data</x:v>
      </x:c>
      <x:c r="E10" s="42" t="str">
        <x:v>将设备端文件拉取到本地Session临时目录。</x:v>
      </x:c>
      <x:c r="F10" s="42" t="str">
        <x:v>本地perf.data</x:v>
      </x:c>
      <x:c r="G10" s="42" t="str">
        <x:v>P0</x:v>
      </x:c>
      <x:c r="H10" s="42" t="str">
        <x:v>未分配</x:v>
      </x:c>
      <x:c r="I10" s="42" t="n">
        <x:v>1</x:v>
      </x:c>
      <x:c r="J10" s="42" t="n">
        <x:v>1</x:v>
      </x:c>
      <x:c r="K10" s="42" t="n">
        <x:v>0.5</x:v>
      </x:c>
      <x:c r="L10" s="42" t="str">
        <x:v>P0-007</x:v>
      </x:c>
      <x:c r="M10" s="42" t="str">
        <x:v>未开始</x:v>
      </x:c>
      <x:c r="N10" s="56" t="n">
        <x:v>0</x:v>
      </x:c>
      <x:c r="O10" s="42" t="str">
        <x:v>SHA-256可计算，文件大小一致</x:v>
      </x:c>
      <x:c r="P10" s="42" t="str">
        <x:v>adb pull校验</x:v>
      </x:c>
      <x:c r="Q10" s="43" t="str"/>
    </x:row>
    <x:row r="11">
      <x:c r="A11" s="41" t="str">
        <x:v>P0-009</x:v>
      </x:c>
      <x:c r="B11" s="42" t="str">
        <x:v>P0 技术验证</x:v>
      </x:c>
      <x:c r="C11" s="42" t="str">
        <x:v>转换</x:v>
      </x:c>
      <x:c r="D11" s="42" t="str">
        <x:v>转换为protobuf</x:v>
      </x:c>
      <x:c r="E11" s="42" t="str">
        <x:v>执行report-sample --protobuf --show-callchain。</x:v>
      </x:c>
      <x:c r="F11" s="42" t="str">
        <x:v>simpleperf.proto</x:v>
      </x:c>
      <x:c r="G11" s="42" t="str">
        <x:v>P0</x:v>
      </x:c>
      <x:c r="H11" s="42" t="str">
        <x:v>未分配</x:v>
      </x:c>
      <x:c r="I11" s="42" t="n">
        <x:v>1</x:v>
      </x:c>
      <x:c r="J11" s="42" t="n">
        <x:v>1</x:v>
      </x:c>
      <x:c r="K11" s="42" t="n">
        <x:v>0.5</x:v>
      </x:c>
      <x:c r="L11" s="42" t="str">
        <x:v>P0-008</x:v>
      </x:c>
      <x:c r="M11" s="42" t="str">
        <x:v>未开始</x:v>
      </x:c>
      <x:c r="N11" s="56" t="n">
        <x:v>0</x:v>
      </x:c>
      <x:c r="O11" s="42" t="str">
        <x:v>生成文件包含SIMPLEPERF头</x:v>
      </x:c>
      <x:c r="P11" s="42" t="str">
        <x:v>转换日志校验</x:v>
      </x:c>
      <x:c r="Q11" s="43" t="str"/>
    </x:row>
    <x:row r="12">
      <x:c r="A12" s="41" t="str">
        <x:v>P0-010</x:v>
      </x:c>
      <x:c r="B12" s="42" t="str">
        <x:v>P0 技术验证</x:v>
      </x:c>
      <x:c r="C12" s="42" t="str">
        <x:v>解析</x:v>
      </x:c>
      <x:c r="D12" s="42" t="str">
        <x:v>解析文件头与Record流</x:v>
      </x:c>
      <x:c r="E12" s="42" t="str">
        <x:v>读取magic、version、长度前缀和终止标记。</x:v>
      </x:c>
      <x:c r="F12" s="42" t="str">
        <x:v>Proto流读取器PoC</x:v>
      </x:c>
      <x:c r="G12" s="42" t="str">
        <x:v>P0</x:v>
      </x:c>
      <x:c r="H12" s="42" t="str">
        <x:v>未分配</x:v>
      </x:c>
      <x:c r="I12" s="42" t="n">
        <x:v>1</x:v>
      </x:c>
      <x:c r="J12" s="42" t="n">
        <x:v>1</x:v>
      </x:c>
      <x:c r="K12" s="42" t="n">
        <x:v>0.5</x:v>
      </x:c>
      <x:c r="L12" s="42" t="str">
        <x:v>P0-009</x:v>
      </x:c>
      <x:c r="M12" s="42" t="str">
        <x:v>未开始</x:v>
      </x:c>
      <x:c r="N12" s="56" t="n">
        <x:v>0</x:v>
      </x:c>
      <x:c r="O12" s="42" t="str">
        <x:v>可遍历全部Record且无越界</x:v>
      </x:c>
      <x:c r="P12" s="42" t="str">
        <x:v>Golden proto验证</x:v>
      </x:c>
      <x:c r="Q12" s="43" t="str"/>
    </x:row>
    <x:row r="13">
      <x:c r="A13" s="41" t="str">
        <x:v>P0-011</x:v>
      </x:c>
      <x:c r="B13" s="42" t="str">
        <x:v>P0 技术验证</x:v>
      </x:c>
      <x:c r="C13" s="42" t="str">
        <x:v>解析</x:v>
      </x:c>
      <x:c r="D13" s="42" t="str">
        <x:v>解析Thread/File/Sample</x:v>
      </x:c>
      <x:c r="E13" s="42" t="str">
        <x:v>提取线程、文件、符号和样本基本信息。</x:v>
      </x:c>
      <x:c r="F13" s="42" t="str">
        <x:v>PoC内存模型</x:v>
      </x:c>
      <x:c r="G13" s="42" t="str">
        <x:v>P0</x:v>
      </x:c>
      <x:c r="H13" s="42" t="str">
        <x:v>未分配</x:v>
      </x:c>
      <x:c r="I13" s="42" t="n">
        <x:v>1</x:v>
      </x:c>
      <x:c r="J13" s="42" t="n">
        <x:v>1</x:v>
      </x:c>
      <x:c r="K13" s="42" t="n">
        <x:v>0.5</x:v>
      </x:c>
      <x:c r="L13" s="42" t="str">
        <x:v>P0-010</x:v>
      </x:c>
      <x:c r="M13" s="42" t="str">
        <x:v>未开始</x:v>
      </x:c>
      <x:c r="N13" s="56" t="n">
        <x:v>0</x:v>
      </x:c>
      <x:c r="O13" s="42" t="str">
        <x:v>能打印Top线程和Top函数</x:v>
      </x:c>
      <x:c r="P13" s="42" t="str">
        <x:v>与report命令结果对比</x:v>
      </x:c>
      <x:c r="Q13" s="43" t="str"/>
    </x:row>
    <x:row r="14">
      <x:c r="A14" s="41" t="str">
        <x:v>P0-012</x:v>
      </x:c>
      <x:c r="B14" s="42" t="str">
        <x:v>P0 技术验证</x:v>
      </x:c>
      <x:c r="C14" s="42" t="str">
        <x:v>展示</x:v>
      </x:c>
      <x:c r="D14" s="42" t="str">
        <x:v>生成最小结果页</x:v>
      </x:c>
      <x:c r="E14" s="42" t="str">
        <x:v>展示设备、样本数、Top 10函数。</x:v>
      </x:c>
      <x:c r="F14" s="42" t="str">
        <x:v>PoC报告页面</x:v>
      </x:c>
      <x:c r="G14" s="42" t="str">
        <x:v>P0</x:v>
      </x:c>
      <x:c r="H14" s="42" t="str">
        <x:v>未分配</x:v>
      </x:c>
      <x:c r="I14" s="42" t="n">
        <x:v>1</x:v>
      </x:c>
      <x:c r="J14" s="42" t="n">
        <x:v>1</x:v>
      </x:c>
      <x:c r="K14" s="42" t="n">
        <x:v>0.5</x:v>
      </x:c>
      <x:c r="L14" s="42" t="str">
        <x:v>P0-011</x:v>
      </x:c>
      <x:c r="M14" s="42" t="str">
        <x:v>未开始</x:v>
      </x:c>
      <x:c r="N14" s="56" t="n">
        <x:v>0</x:v>
      </x:c>
      <x:c r="O14" s="42" t="str">
        <x:v>从采集到展示全链路可操作</x:v>
      </x:c>
      <x:c r="P14" s="42" t="str">
        <x:v>端到端冒烟测试</x:v>
      </x:c>
      <x:c r="Q14" s="43" t="str">
        <x:v>PoC通过后再进入正式开发</x:v>
      </x:c>
    </x:row>
    <x:row r="15">
      <x:c r="A15" s="41" t="str">
        <x:v>P1-001</x:v>
      </x:c>
      <x:c r="B15" s="42" t="str">
        <x:v>P1 基础框架</x:v>
      </x:c>
      <x:c r="C15" s="42" t="str">
        <x:v>架构</x:v>
      </x:c>
      <x:c r="D15" s="42" t="str">
        <x:v>固化模块依赖规则</x:v>
      </x:c>
      <x:c r="E15" s="42" t="str">
        <x:v>定义各模块职责、依赖方向和公共接口。</x:v>
      </x:c>
      <x:c r="F15" s="42" t="str">
        <x:v>architecture.md</x:v>
      </x:c>
      <x:c r="G15" s="42" t="str">
        <x:v>P0</x:v>
      </x:c>
      <x:c r="H15" s="42" t="str">
        <x:v>未分配</x:v>
      </x:c>
      <x:c r="I15" s="42" t="n">
        <x:v>2</x:v>
      </x:c>
      <x:c r="J15" s="42" t="n">
        <x:v>2</x:v>
      </x:c>
      <x:c r="K15" s="42" t="n">
        <x:v>1</x:v>
      </x:c>
      <x:c r="L15" s="42" t="str">
        <x:v>P0-012</x:v>
      </x:c>
      <x:c r="M15" s="42" t="str">
        <x:v>未开始</x:v>
      </x:c>
      <x:c r="N15" s="56" t="n">
        <x:v>0</x:v>
      </x:c>
      <x:c r="O15" s="42" t="str">
        <x:v>UI不直接依赖ADB/SQLite实现</x:v>
      </x:c>
      <x:c r="P15" s="42" t="str">
        <x:v>依赖图审查</x:v>
      </x:c>
      <x:c r="Q15" s="43" t="str"/>
    </x:row>
    <x:row r="16">
      <x:c r="A16" s="41" t="str">
        <x:v>P1-002</x:v>
      </x:c>
      <x:c r="B16" s="42" t="str">
        <x:v>P1 基础框架</x:v>
      </x:c>
      <x:c r="C16" s="42" t="str">
        <x:v>领域模型</x:v>
      </x:c>
      <x:c r="D16" s="42" t="str">
        <x:v>定义Session领域模型</x:v>
      </x:c>
      <x:c r="E16" s="42" t="str">
        <x:v>定义ProfileSession、CaptureConfig、DeviceInfo等。</x:v>
      </x:c>
      <x:c r="F16" s="42" t="str">
        <x:v>core-domain模型</x:v>
      </x:c>
      <x:c r="G16" s="42" t="str">
        <x:v>P0</x:v>
      </x:c>
      <x:c r="H16" s="42" t="str">
        <x:v>未分配</x:v>
      </x:c>
      <x:c r="I16" s="42" t="n">
        <x:v>2</x:v>
      </x:c>
      <x:c r="J16" s="42" t="n">
        <x:v>2</x:v>
      </x:c>
      <x:c r="K16" s="42" t="n">
        <x:v>1</x:v>
      </x:c>
      <x:c r="L16" s="42" t="str">
        <x:v>P1-001</x:v>
      </x:c>
      <x:c r="M16" s="42" t="str">
        <x:v>未开始</x:v>
      </x:c>
      <x:c r="N16" s="56" t="n">
        <x:v>0</x:v>
      </x:c>
      <x:c r="O16" s="42" t="str">
        <x:v>领域模型不依赖外部框架</x:v>
      </x:c>
      <x:c r="P16" s="42" t="str">
        <x:v>模块依赖检查</x:v>
      </x:c>
      <x:c r="Q16" s="43" t="str"/>
    </x:row>
    <x:row r="17">
      <x:c r="A17" s="41" t="str">
        <x:v>P1-003</x:v>
      </x:c>
      <x:c r="B17" s="42" t="str">
        <x:v>P1 基础框架</x:v>
      </x:c>
      <x:c r="C17" s="42" t="str">
        <x:v>状态管理</x:v>
      </x:c>
      <x:c r="D17" s="42" t="str">
        <x:v>实现Session状态机</x:v>
      </x:c>
      <x:c r="E17" s="42" t="str">
        <x:v>支持Created到Completed/Failed/Cancelled以及重试。</x:v>
      </x:c>
      <x:c r="F17" s="42" t="str">
        <x:v>SessionStateMachine</x:v>
      </x:c>
      <x:c r="G17" s="42" t="str">
        <x:v>P0</x:v>
      </x:c>
      <x:c r="H17" s="42" t="str">
        <x:v>未分配</x:v>
      </x:c>
      <x:c r="I17" s="42" t="n">
        <x:v>2</x:v>
      </x:c>
      <x:c r="J17" s="42" t="n">
        <x:v>2</x:v>
      </x:c>
      <x:c r="K17" s="42" t="n">
        <x:v>1</x:v>
      </x:c>
      <x:c r="L17" s="42" t="str">
        <x:v>P1-002</x:v>
      </x:c>
      <x:c r="M17" s="42" t="str">
        <x:v>未开始</x:v>
      </x:c>
      <x:c r="N17" s="56" t="n">
        <x:v>0</x:v>
      </x:c>
      <x:c r="O17" s="42" t="str">
        <x:v>非法状态跳转被拒绝，状态可持久化</x:v>
      </x:c>
      <x:c r="P17" s="42" t="str">
        <x:v>状态机单元测试</x:v>
      </x:c>
      <x:c r="Q17" s="43" t="str"/>
    </x:row>
    <x:row r="18">
      <x:c r="A18" s="41" t="str">
        <x:v>P1-004</x:v>
      </x:c>
      <x:c r="B18" s="42" t="str">
        <x:v>P1 基础框架</x:v>
      </x:c>
      <x:c r="C18" s="42" t="str">
        <x:v>目录管理</x:v>
      </x:c>
      <x:c r="D18" s="42" t="str">
        <x:v>实现Session目录规范</x:v>
      </x:c>
      <x:c r="E18" s="42" t="str">
        <x:v>创建raw/converted/database/logs/symbols等目录。</x:v>
      </x:c>
      <x:c r="F18" s="42" t="str">
        <x:v>SessionWorkspace</x:v>
      </x:c>
      <x:c r="G18" s="42" t="str">
        <x:v>P0</x:v>
      </x:c>
      <x:c r="H18" s="42" t="str">
        <x:v>未分配</x:v>
      </x:c>
      <x:c r="I18" s="42" t="n">
        <x:v>2</x:v>
      </x:c>
      <x:c r="J18" s="42" t="n">
        <x:v>2</x:v>
      </x:c>
      <x:c r="K18" s="42" t="n">
        <x:v>0.75</x:v>
      </x:c>
      <x:c r="L18" s="42" t="str">
        <x:v>P1-002</x:v>
      </x:c>
      <x:c r="M18" s="42" t="str">
        <x:v>未开始</x:v>
      </x:c>
      <x:c r="N18" s="56" t="n">
        <x:v>0</x:v>
      </x:c>
      <x:c r="O18" s="42" t="str">
        <x:v>目录创建原子化且支持恢复</x:v>
      </x:c>
      <x:c r="P18" s="42" t="str">
        <x:v>临时目录/权限测试</x:v>
      </x:c>
      <x:c r="Q18" s="43" t="str"/>
    </x:row>
    <x:row r="19">
      <x:c r="A19" s="41" t="str">
        <x:v>P1-005</x:v>
      </x:c>
      <x:c r="B19" s="42" t="str">
        <x:v>P1 基础框架</x:v>
      </x:c>
      <x:c r="C19" s="42" t="str">
        <x:v>配置</x:v>
      </x:c>
      <x:c r="D19" s="42" t="str">
        <x:v>实现应用配置系统</x:v>
      </x:c>
      <x:c r="E19" s="42" t="str">
        <x:v>保存ADB路径、数据目录、默认采集模板。</x:v>
      </x:c>
      <x:c r="F19" s="42" t="str">
        <x:v>SettingsRepository</x:v>
      </x:c>
      <x:c r="G19" s="42" t="str">
        <x:v>P1</x:v>
      </x:c>
      <x:c r="H19" s="42" t="str">
        <x:v>未分配</x:v>
      </x:c>
      <x:c r="I19" s="42" t="n">
        <x:v>2</x:v>
      </x:c>
      <x:c r="J19" s="42" t="n">
        <x:v>2</x:v>
      </x:c>
      <x:c r="K19" s="42" t="n">
        <x:v>0.75</x:v>
      </x:c>
      <x:c r="L19" s="42" t="str">
        <x:v>P1-001</x:v>
      </x:c>
      <x:c r="M19" s="42" t="str">
        <x:v>未开始</x:v>
      </x:c>
      <x:c r="N19" s="56" t="n">
        <x:v>0</x:v>
      </x:c>
      <x:c r="O19" s="42" t="str">
        <x:v>配置可读取、修改、恢复默认</x:v>
      </x:c>
      <x:c r="P19" s="42" t="str">
        <x:v>配置迁移测试</x:v>
      </x:c>
      <x:c r="Q19" s="43" t="str"/>
    </x:row>
    <x:row r="20">
      <x:c r="A20" s="41" t="str">
        <x:v>P1-006</x:v>
      </x:c>
      <x:c r="B20" s="42" t="str">
        <x:v>P1 基础框架</x:v>
      </x:c>
      <x:c r="C20" s="42" t="str">
        <x:v>日志</x:v>
      </x:c>
      <x:c r="D20" s="42" t="str">
        <x:v>建立结构化日志</x:v>
      </x:c>
      <x:c r="E20" s="42" t="str">
        <x:v>区分应用、ADB、Simpleperf、转换和解析日志。</x:v>
      </x:c>
      <x:c r="F20" s="42" t="str">
        <x:v>Logging模块</x:v>
      </x:c>
      <x:c r="G20" s="42" t="str">
        <x:v>P0</x:v>
      </x:c>
      <x:c r="H20" s="42" t="str">
        <x:v>未分配</x:v>
      </x:c>
      <x:c r="I20" s="42" t="n">
        <x:v>2</x:v>
      </x:c>
      <x:c r="J20" s="42" t="n">
        <x:v>2</x:v>
      </x:c>
      <x:c r="K20" s="42" t="n">
        <x:v>1</x:v>
      </x:c>
      <x:c r="L20" s="42" t="str">
        <x:v>P1-001</x:v>
      </x:c>
      <x:c r="M20" s="42" t="str">
        <x:v>未开始</x:v>
      </x:c>
      <x:c r="N20" s="56" t="n">
        <x:v>0</x:v>
      </x:c>
      <x:c r="O20" s="42" t="str">
        <x:v>每个Session可定位到独立日志</x:v>
      </x:c>
      <x:c r="P20" s="42" t="str">
        <x:v>错误注入验证</x:v>
      </x:c>
      <x:c r="Q20" s="43" t="str"/>
    </x:row>
    <x:row r="21">
      <x:c r="A21" s="41" t="str">
        <x:v>P1-007</x:v>
      </x:c>
      <x:c r="B21" s="42" t="str">
        <x:v>P1 基础框架</x:v>
      </x:c>
      <x:c r="C21" s="42" t="str">
        <x:v>错误模型</x:v>
      </x:c>
      <x:c r="D21" s="42" t="str">
        <x:v>统一错误与恢复动作</x:v>
      </x:c>
      <x:c r="E21" s="42" t="str">
        <x:v>定义AppError和可重试、不可重试策略。</x:v>
      </x:c>
      <x:c r="F21" s="42" t="str">
        <x:v>错误模型与映射器</x:v>
      </x:c>
      <x:c r="G21" s="42" t="str">
        <x:v>P0</x:v>
      </x:c>
      <x:c r="H21" s="42" t="str">
        <x:v>未分配</x:v>
      </x:c>
      <x:c r="I21" s="42" t="n">
        <x:v>2</x:v>
      </x:c>
      <x:c r="J21" s="42" t="n">
        <x:v>2</x:v>
      </x:c>
      <x:c r="K21" s="42" t="n">
        <x:v>1</x:v>
      </x:c>
      <x:c r="L21" s="42" t="str">
        <x:v>P1-003</x:v>
      </x:c>
      <x:c r="M21" s="42" t="str">
        <x:v>未开始</x:v>
      </x:c>
      <x:c r="N21" s="56" t="n">
        <x:v>0</x:v>
      </x:c>
      <x:c r="O21" s="42" t="str">
        <x:v>UI可展示阶段、命令、退出码、stderr</x:v>
      </x:c>
      <x:c r="P21" s="42" t="str">
        <x:v>错误场景单测</x:v>
      </x:c>
      <x:c r="Q21" s="43" t="str"/>
    </x:row>
    <x:row r="22">
      <x:c r="A22" s="41" t="str">
        <x:v>P1-008</x:v>
      </x:c>
      <x:c r="B22" s="42" t="str">
        <x:v>P1 基础框架</x:v>
      </x:c>
      <x:c r="C22" s="42" t="str">
        <x:v>并发</x:v>
      </x:c>
      <x:c r="D22" s="42" t="str">
        <x:v>建立协程任务框架</x:v>
      </x:c>
      <x:c r="E22" s="42" t="str">
        <x:v>统一后台任务、进度、取消和资源释放。</x:v>
      </x:c>
      <x:c r="F22" s="42" t="str">
        <x:v>TaskRunner</x:v>
      </x:c>
      <x:c r="G22" s="42" t="str">
        <x:v>P0</x:v>
      </x:c>
      <x:c r="H22" s="42" t="str">
        <x:v>未分配</x:v>
      </x:c>
      <x:c r="I22" s="42" t="n">
        <x:v>3</x:v>
      </x:c>
      <x:c r="J22" s="42" t="n">
        <x:v>3</x:v>
      </x:c>
      <x:c r="K22" s="42" t="n">
        <x:v>1</x:v>
      </x:c>
      <x:c r="L22" s="42" t="str">
        <x:v>P1-003</x:v>
      </x:c>
      <x:c r="M22" s="42" t="str">
        <x:v>未开始</x:v>
      </x:c>
      <x:c r="N22" s="56" t="n">
        <x:v>0</x:v>
      </x:c>
      <x:c r="O22" s="42" t="str">
        <x:v>取消不会遗留子进程或锁</x:v>
      </x:c>
      <x:c r="P22" s="42" t="str">
        <x:v>取消压力测试</x:v>
      </x:c>
      <x:c r="Q22" s="43" t="str"/>
    </x:row>
    <x:row r="23">
      <x:c r="A23" s="41" t="str">
        <x:v>P1-009</x:v>
      </x:c>
      <x:c r="B23" s="42" t="str">
        <x:v>P1 基础框架</x:v>
      </x:c>
      <x:c r="C23" s="42" t="str">
        <x:v>命令执行</x:v>
      </x:c>
      <x:c r="D23" s="42" t="str">
        <x:v>完善CommandExecutor</x:v>
      </x:c>
      <x:c r="E23" s="42" t="str">
        <x:v>实现超时、进程树终止、输出限流和日志重定向。</x:v>
      </x:c>
      <x:c r="F23" s="42" t="str">
        <x:v>生产级CommandExecutor</x:v>
      </x:c>
      <x:c r="G23" s="42" t="str">
        <x:v>P0</x:v>
      </x:c>
      <x:c r="H23" s="42" t="str">
        <x:v>未分配</x:v>
      </x:c>
      <x:c r="I23" s="42" t="n">
        <x:v>3</x:v>
      </x:c>
      <x:c r="J23" s="42" t="n">
        <x:v>3</x:v>
      </x:c>
      <x:c r="K23" s="42" t="n">
        <x:v>1.25</x:v>
      </x:c>
      <x:c r="L23" s="42" t="str">
        <x:v>P0-003,P1-006,P1-008</x:v>
      </x:c>
      <x:c r="M23" s="42" t="str">
        <x:v>未开始</x:v>
      </x:c>
      <x:c r="N23" s="56" t="n">
        <x:v>0</x:v>
      </x:c>
      <x:c r="O23" s="42" t="str">
        <x:v>大输出命令不死锁，取消可终止进程树</x:v>
      </x:c>
      <x:c r="P23" s="42" t="str">
        <x:v>集成测试</x:v>
      </x:c>
      <x:c r="Q23" s="43" t="str"/>
    </x:row>
    <x:row r="24">
      <x:c r="A24" s="41" t="str">
        <x:v>P1-010</x:v>
      </x:c>
      <x:c r="B24" s="42" t="str">
        <x:v>P1 基础框架</x:v>
      </x:c>
      <x:c r="C24" s="42" t="str">
        <x:v>UI框架</x:v>
      </x:c>
      <x:c r="D24" s="42" t="str">
        <x:v>建立主窗口与导航</x:v>
      </x:c>
      <x:c r="E24" s="42" t="str">
        <x:v>实现Sessions/Device/Capture/Report基础路由。</x:v>
      </x:c>
      <x:c r="F24" s="42" t="str">
        <x:v>桌面主框架</x:v>
      </x:c>
      <x:c r="G24" s="42" t="str">
        <x:v>P1</x:v>
      </x:c>
      <x:c r="H24" s="42" t="str">
        <x:v>未分配</x:v>
      </x:c>
      <x:c r="I24" s="42" t="n">
        <x:v>3</x:v>
      </x:c>
      <x:c r="J24" s="42" t="n">
        <x:v>3</x:v>
      </x:c>
      <x:c r="K24" s="42" t="n">
        <x:v>1</x:v>
      </x:c>
      <x:c r="L24" s="42" t="str">
        <x:v>P1-001</x:v>
      </x:c>
      <x:c r="M24" s="42" t="str">
        <x:v>未开始</x:v>
      </x:c>
      <x:c r="N24" s="56" t="n">
        <x:v>0</x:v>
      </x:c>
      <x:c r="O24" s="42" t="str">
        <x:v>导航状态可恢复，异常不丢Session</x:v>
      </x:c>
      <x:c r="P24" s="42" t="str">
        <x:v>UI冒烟测试</x:v>
      </x:c>
      <x:c r="Q24" s="43" t="str"/>
    </x:row>
    <x:row r="25">
      <x:c r="A25" s="41" t="str">
        <x:v>P1-011</x:v>
      </x:c>
      <x:c r="B25" s="42" t="str">
        <x:v>P1 基础框架</x:v>
      </x:c>
      <x:c r="C25" s="42" t="str">
        <x:v>持久化</x:v>
      </x:c>
      <x:c r="D25" s="42" t="str">
        <x:v>实现session.json</x:v>
      </x:c>
      <x:c r="E25" s="42" t="str">
        <x:v>保存版本、设备、采集命令、哈希和状态。</x:v>
      </x:c>
      <x:c r="F25" s="42" t="str">
        <x:v>SessionMetadataStore</x:v>
      </x:c>
      <x:c r="G25" s="42" t="str">
        <x:v>P0</x:v>
      </x:c>
      <x:c r="H25" s="42" t="str">
        <x:v>未分配</x:v>
      </x:c>
      <x:c r="I25" s="42" t="n">
        <x:v>3</x:v>
      </x:c>
      <x:c r="J25" s="42" t="n">
        <x:v>3</x:v>
      </x:c>
      <x:c r="K25" s="42" t="n">
        <x:v>0.75</x:v>
      </x:c>
      <x:c r="L25" s="42" t="str">
        <x:v>P1-004,P1-003</x:v>
      </x:c>
      <x:c r="M25" s="42" t="str">
        <x:v>未开始</x:v>
      </x:c>
      <x:c r="N25" s="56" t="n">
        <x:v>0</x:v>
      </x:c>
      <x:c r="O25" s="42" t="str">
        <x:v>异常退出后可恢复Session状态</x:v>
      </x:c>
      <x:c r="P25" s="42" t="str">
        <x:v>损坏文件测试</x:v>
      </x:c>
      <x:c r="Q25" s="43" t="str"/>
    </x:row>
    <x:row r="26">
      <x:c r="A26" s="41" t="str">
        <x:v>P1-012</x:v>
      </x:c>
      <x:c r="B26" s="42" t="str">
        <x:v>P1 基础框架</x:v>
      </x:c>
      <x:c r="C26" s="42" t="str">
        <x:v>测试</x:v>
      </x:c>
      <x:c r="D26" s="42" t="str">
        <x:v>建立基础测试与CI</x:v>
      </x:c>
      <x:c r="E26" s="42" t="str">
        <x:v>配置单测、静态检查、构建矩阵占位。</x:v>
      </x:c>
      <x:c r="F26" s="42" t="str">
        <x:v>CI基础流水线</x:v>
      </x:c>
      <x:c r="G26" s="42" t="str">
        <x:v>P1</x:v>
      </x:c>
      <x:c r="H26" s="42" t="str">
        <x:v>未分配</x:v>
      </x:c>
      <x:c r="I26" s="42" t="n">
        <x:v>3</x:v>
      </x:c>
      <x:c r="J26" s="42" t="n">
        <x:v>3</x:v>
      </x:c>
      <x:c r="K26" s="42" t="n">
        <x:v>0.75</x:v>
      </x:c>
      <x:c r="L26" s="42" t="str">
        <x:v>P1-001</x:v>
      </x:c>
      <x:c r="M26" s="42" t="str">
        <x:v>未开始</x:v>
      </x:c>
      <x:c r="N26" s="56" t="n">
        <x:v>0</x:v>
      </x:c>
      <x:c r="O26" s="42" t="str">
        <x:v>PR可自动编译并运行核心单测</x:v>
      </x:c>
      <x:c r="P26" s="42" t="str">
        <x:v>CI验证</x:v>
      </x:c>
      <x:c r="Q26" s="43" t="str"/>
    </x:row>
    <x:row r="27">
      <x:c r="A27" s="41" t="str">
        <x:v>P2-001</x:v>
      </x:c>
      <x:c r="B27" s="42" t="str">
        <x:v>P2 设备与采集</x:v>
      </x:c>
      <x:c r="C27" s="42" t="str">
        <x:v>ADB</x:v>
      </x:c>
      <x:c r="D27" s="42" t="str">
        <x:v>实现ADB路径发现</x:v>
      </x:c>
      <x:c r="E27" s="42" t="str">
        <x:v>支持系统PATH、用户指定和内置配置。</x:v>
      </x:c>
      <x:c r="F27" s="42" t="str">
        <x:v>AdbLocator</x:v>
      </x:c>
      <x:c r="G27" s="42" t="str">
        <x:v>P0</x:v>
      </x:c>
      <x:c r="H27" s="42" t="str">
        <x:v>未分配</x:v>
      </x:c>
      <x:c r="I27" s="42" t="n">
        <x:v>4</x:v>
      </x:c>
      <x:c r="J27" s="42" t="n">
        <x:v>4</x:v>
      </x:c>
      <x:c r="K27" s="42" t="n">
        <x:v>0.75</x:v>
      </x:c>
      <x:c r="L27" s="42" t="str">
        <x:v>P1-009</x:v>
      </x:c>
      <x:c r="M27" s="42" t="str">
        <x:v>未开始</x:v>
      </x:c>
      <x:c r="N27" s="56" t="n">
        <x:v>0</x:v>
      </x:c>
      <x:c r="O27" s="42" t="str">
        <x:v>路径无效时给出明确修复建议</x:v>
      </x:c>
      <x:c r="P27" s="42" t="str">
        <x:v>跨平台测试</x:v>
      </x:c>
      <x:c r="Q27" s="43" t="str"/>
    </x:row>
    <x:row r="28">
      <x:c r="A28" s="41" t="str">
        <x:v>P2-002</x:v>
      </x:c>
      <x:c r="B28" s="42" t="str">
        <x:v>P2 设备与采集</x:v>
      </x:c>
      <x:c r="C28" s="42" t="str">
        <x:v>ADB</x:v>
      </x:c>
      <x:c r="D28" s="42" t="str">
        <x:v>设备列表自动刷新</x:v>
      </x:c>
      <x:c r="E28" s="42" t="str">
        <x:v>周期刷新且不阻塞UI，保留选中设备。</x:v>
      </x:c>
      <x:c r="F28" s="42" t="str">
        <x:v>DeviceRepository</x:v>
      </x:c>
      <x:c r="G28" s="42" t="str">
        <x:v>P0</x:v>
      </x:c>
      <x:c r="H28" s="42" t="str">
        <x:v>未分配</x:v>
      </x:c>
      <x:c r="I28" s="42" t="n">
        <x:v>4</x:v>
      </x:c>
      <x:c r="J28" s="42" t="n">
        <x:v>4</x:v>
      </x:c>
      <x:c r="K28" s="42" t="n">
        <x:v>1</x:v>
      </x:c>
      <x:c r="L28" s="42" t="str">
        <x:v>P2-001</x:v>
      </x:c>
      <x:c r="M28" s="42" t="str">
        <x:v>未开始</x:v>
      </x:c>
      <x:c r="N28" s="56" t="n">
        <x:v>0</x:v>
      </x:c>
      <x:c r="O28" s="42" t="str">
        <x:v>插拔设备后列表在合理时间内更新</x:v>
      </x:c>
      <x:c r="P28" s="42" t="str">
        <x:v>热插拔测试</x:v>
      </x:c>
      <x:c r="Q28" s="43" t="str"/>
    </x:row>
    <x:row r="29">
      <x:c r="A29" s="41" t="str">
        <x:v>P2-003</x:v>
      </x:c>
      <x:c r="B29" s="42" t="str">
        <x:v>P2 设备与采集</x:v>
      </x:c>
      <x:c r="C29" s="42" t="str">
        <x:v>ADB</x:v>
      </x:c>
      <x:c r="D29" s="42" t="str">
        <x:v>无线ADB支持</x:v>
      </x:c>
      <x:c r="E29" s="42" t="str">
        <x:v>支持已有无线设备和手动连接地址。</x:v>
      </x:c>
      <x:c r="F29" s="42" t="str">
        <x:v>无线设备管理</x:v>
      </x:c>
      <x:c r="G29" s="42" t="str">
        <x:v>P2</x:v>
      </x:c>
      <x:c r="H29" s="42" t="str">
        <x:v>未分配</x:v>
      </x:c>
      <x:c r="I29" s="42" t="n">
        <x:v>5</x:v>
      </x:c>
      <x:c r="J29" s="42" t="n">
        <x:v>5</x:v>
      </x:c>
      <x:c r="K29" s="42" t="n">
        <x:v>0.75</x:v>
      </x:c>
      <x:c r="L29" s="42" t="str">
        <x:v>P2-001</x:v>
      </x:c>
      <x:c r="M29" s="42" t="str">
        <x:v>未开始</x:v>
      </x:c>
      <x:c r="N29" s="56" t="n">
        <x:v>0</x:v>
      </x:c>
      <x:c r="O29" s="42" t="str">
        <x:v>可连接、断开并显示错误原因</x:v>
      </x:c>
      <x:c r="P29" s="42" t="str">
        <x:v>局域网设备测试</x:v>
      </x:c>
      <x:c r="Q29" s="43" t="str"/>
    </x:row>
    <x:row r="30">
      <x:c r="A30" s="41" t="str">
        <x:v>P2-004</x:v>
      </x:c>
      <x:c r="B30" s="42" t="str">
        <x:v>P2 设备与采集</x:v>
      </x:c>
      <x:c r="C30" s="42" t="str">
        <x:v>能力检测</x:v>
      </x:c>
      <x:c r="D30" s="42" t="str">
        <x:v>实现设备能力探测</x:v>
      </x:c>
      <x:c r="E30" s="42" t="str">
        <x:v>探测root、SELinux、ABI、Simpleperf、events、features。</x:v>
      </x:c>
      <x:c r="F30" s="42" t="str">
        <x:v>CapabilityDetector</x:v>
      </x:c>
      <x:c r="G30" s="42" t="str">
        <x:v>P0</x:v>
      </x:c>
      <x:c r="H30" s="42" t="str">
        <x:v>未分配</x:v>
      </x:c>
      <x:c r="I30" s="42" t="n">
        <x:v>4</x:v>
      </x:c>
      <x:c r="J30" s="42" t="n">
        <x:v>4</x:v>
      </x:c>
      <x:c r="K30" s="42" t="n">
        <x:v>1.25</x:v>
      </x:c>
      <x:c r="L30" s="42" t="str">
        <x:v>P2-002</x:v>
      </x:c>
      <x:c r="M30" s="42" t="str">
        <x:v>未开始</x:v>
      </x:c>
      <x:c r="N30" s="56" t="n">
        <x:v>0</x:v>
      </x:c>
      <x:c r="O30" s="42" t="str">
        <x:v>输出可展示的能力矩阵</x:v>
      </x:c>
      <x:c r="P30" s="42" t="str">
        <x:v>user/userdebug对比</x:v>
      </x:c>
      <x:c r="Q30" s="43" t="str"/>
    </x:row>
    <x:row r="31">
      <x:c r="A31" s="41" t="str">
        <x:v>P2-005</x:v>
      </x:c>
      <x:c r="B31" s="42" t="str">
        <x:v>P2 设备与采集</x:v>
      </x:c>
      <x:c r="C31" s="42" t="str">
        <x:v>进程发现</x:v>
      </x:c>
      <x:c r="D31" s="42" t="str">
        <x:v>实现进程列表</x:v>
      </x:c>
      <x:c r="E31" s="42" t="str">
        <x:v>解析PID、PPID、用户、进程名、包名关联。</x:v>
      </x:c>
      <x:c r="F31" s="42" t="str">
        <x:v>ProcessRepository</x:v>
      </x:c>
      <x:c r="G31" s="42" t="str">
        <x:v>P0</x:v>
      </x:c>
      <x:c r="H31" s="42" t="str">
        <x:v>未分配</x:v>
      </x:c>
      <x:c r="I31" s="42" t="n">
        <x:v>4</x:v>
      </x:c>
      <x:c r="J31" s="42" t="n">
        <x:v>4</x:v>
      </x:c>
      <x:c r="K31" s="42" t="n">
        <x:v>1</x:v>
      </x:c>
      <x:c r="L31" s="42" t="str">
        <x:v>P2-002</x:v>
      </x:c>
      <x:c r="M31" s="42" t="str">
        <x:v>未开始</x:v>
      </x:c>
      <x:c r="N31" s="56" t="n">
        <x:v>0</x:v>
      </x:c>
      <x:c r="O31" s="42" t="str">
        <x:v>支持搜索并区分同名多进程</x:v>
      </x:c>
      <x:c r="P31" s="42" t="str">
        <x:v>多进程应用测试</x:v>
      </x:c>
      <x:c r="Q31" s="43" t="str"/>
    </x:row>
    <x:row r="32">
      <x:c r="A32" s="41" t="str">
        <x:v>P2-006</x:v>
      </x:c>
      <x:c r="B32" s="42" t="str">
        <x:v>P2 设备与采集</x:v>
      </x:c>
      <x:c r="C32" s="42" t="str">
        <x:v>线程发现</x:v>
      </x:c>
      <x:c r="D32" s="42" t="str">
        <x:v>实现线程列表</x:v>
      </x:c>
      <x:c r="E32" s="42" t="str">
        <x:v>读取指定进程线程ID和线程名。</x:v>
      </x:c>
      <x:c r="F32" s="42" t="str">
        <x:v>ThreadRepository</x:v>
      </x:c>
      <x:c r="G32" s="42" t="str">
        <x:v>P1</x:v>
      </x:c>
      <x:c r="H32" s="42" t="str">
        <x:v>未分配</x:v>
      </x:c>
      <x:c r="I32" s="42" t="n">
        <x:v>4</x:v>
      </x:c>
      <x:c r="J32" s="42" t="n">
        <x:v>4</x:v>
      </x:c>
      <x:c r="K32" s="42" t="n">
        <x:v>0.75</x:v>
      </x:c>
      <x:c r="L32" s="42" t="str">
        <x:v>P2-005</x:v>
      </x:c>
      <x:c r="M32" s="42" t="str">
        <x:v>未开始</x:v>
      </x:c>
      <x:c r="N32" s="56" t="n">
        <x:v>0</x:v>
      </x:c>
      <x:c r="O32" s="42" t="str">
        <x:v>线程刷新不阻塞并处理线程消失</x:v>
      </x:c>
      <x:c r="P32" s="42" t="str">
        <x:v>动态线程测试</x:v>
      </x:c>
      <x:c r="Q32" s="43" t="str"/>
    </x:row>
    <x:row r="33">
      <x:c r="A33" s="41" t="str">
        <x:v>P2-007</x:v>
      </x:c>
      <x:c r="B33" s="42" t="str">
        <x:v>P2 设备与采集</x:v>
      </x:c>
      <x:c r="C33" s="42" t="str">
        <x:v>应用发现</x:v>
      </x:c>
      <x:c r="D33" s="42" t="str">
        <x:v>实现包列表和profileable提示</x:v>
      </x:c>
      <x:c r="E33" s="42" t="str">
        <x:v>列出应用包并标记debuggable/profileable可采样性。</x:v>
      </x:c>
      <x:c r="F33" s="42" t="str">
        <x:v>PackageRepository</x:v>
      </x:c>
      <x:c r="G33" s="42" t="str">
        <x:v>P1</x:v>
      </x:c>
      <x:c r="H33" s="42" t="str">
        <x:v>未分配</x:v>
      </x:c>
      <x:c r="I33" s="42" t="n">
        <x:v>4</x:v>
      </x:c>
      <x:c r="J33" s="42" t="n">
        <x:v>4</x:v>
      </x:c>
      <x:c r="K33" s="42" t="n">
        <x:v>1</x:v>
      </x:c>
      <x:c r="L33" s="42" t="str">
        <x:v>P2-002</x:v>
      </x:c>
      <x:c r="M33" s="42" t="str">
        <x:v>未开始</x:v>
      </x:c>
      <x:c r="N33" s="56" t="n">
        <x:v>0</x:v>
      </x:c>
      <x:c r="O33" s="42" t="str">
        <x:v>选择应用后能找到当前进程或提示未运行</x:v>
      </x:c>
      <x:c r="P33" s="42" t="str">
        <x:v>debug/release应用验证</x:v>
      </x:c>
      <x:c r="Q33" s="43" t="str"/>
    </x:row>
    <x:row r="34">
      <x:c r="A34" s="41" t="str">
        <x:v>P2-008</x:v>
      </x:c>
      <x:c r="B34" s="42" t="str">
        <x:v>P2 设备与采集</x:v>
      </x:c>
      <x:c r="C34" s="42" t="str">
        <x:v>目标选择</x:v>
      </x:c>
      <x:c r="D34" s="42" t="str">
        <x:v>实现采集目标模型与UI</x:v>
      </x:c>
      <x:c r="E34" s="42" t="str">
        <x:v>支持Package、PID、进程名、TID集合、System-wide。</x:v>
      </x:c>
      <x:c r="F34" s="42" t="str">
        <x:v>TargetSelector</x:v>
      </x:c>
      <x:c r="G34" s="42" t="str">
        <x:v>P0</x:v>
      </x:c>
      <x:c r="H34" s="42" t="str">
        <x:v>未分配</x:v>
      </x:c>
      <x:c r="I34" s="42" t="n">
        <x:v>4</x:v>
      </x:c>
      <x:c r="J34" s="42" t="n">
        <x:v>4</x:v>
      </x:c>
      <x:c r="K34" s="42" t="n">
        <x:v>1</x:v>
      </x:c>
      <x:c r="L34" s="42" t="str">
        <x:v>P2-005,P2-006,P2-007</x:v>
      </x:c>
      <x:c r="M34" s="42" t="str">
        <x:v>未开始</x:v>
      </x:c>
      <x:c r="N34" s="56" t="n">
        <x:v>0</x:v>
      </x:c>
      <x:c r="O34" s="42" t="str">
        <x:v>非法组合不可提交</x:v>
      </x:c>
      <x:c r="P34" s="42" t="str">
        <x:v>UI表单测试</x:v>
      </x:c>
      <x:c r="Q34" s="43" t="str"/>
    </x:row>
    <x:row r="35">
      <x:c r="A35" s="41" t="str">
        <x:v>P2-009</x:v>
      </x:c>
      <x:c r="B35" s="42" t="str">
        <x:v>P2 设备与采集</x:v>
      </x:c>
      <x:c r="C35" s="42" t="str">
        <x:v>配置</x:v>
      </x:c>
      <x:c r="D35" s="42" t="str">
        <x:v>实现采集事件选择</x:v>
      </x:c>
      <x:c r="E35" s="42" t="str">
        <x:v>展示simpleperf list结果，支持cpu-clock等事件。</x:v>
      </x:c>
      <x:c r="F35" s="42" t="str">
        <x:v>EventSelector</x:v>
      </x:c>
      <x:c r="G35" s="42" t="str">
        <x:v>P0</x:v>
      </x:c>
      <x:c r="H35" s="42" t="str">
        <x:v>未分配</x:v>
      </x:c>
      <x:c r="I35" s="42" t="n">
        <x:v>5</x:v>
      </x:c>
      <x:c r="J35" s="42" t="n">
        <x:v>5</x:v>
      </x:c>
      <x:c r="K35" s="42" t="n">
        <x:v>1</x:v>
      </x:c>
      <x:c r="L35" s="42" t="str">
        <x:v>P2-004</x:v>
      </x:c>
      <x:c r="M35" s="42" t="str">
        <x:v>未开始</x:v>
      </x:c>
      <x:c r="N35" s="56" t="n">
        <x:v>0</x:v>
      </x:c>
      <x:c r="O35" s="42" t="str">
        <x:v>不可用事件不能选择</x:v>
      </x:c>
      <x:c r="P35" s="42" t="str">
        <x:v>设备能力测试</x:v>
      </x:c>
      <x:c r="Q35" s="43" t="str"/>
    </x:row>
    <x:row r="36">
      <x:c r="A36" s="41" t="str">
        <x:v>P2-010</x:v>
      </x:c>
      <x:c r="B36" s="42" t="str">
        <x:v>P2 设备与采集</x:v>
      </x:c>
      <x:c r="C36" s="42" t="str">
        <x:v>配置</x:v>
      </x:c>
      <x:c r="D36" s="42" t="str">
        <x:v>实现采集模板</x:v>
      </x:c>
      <x:c r="E36" s="42" t="str">
        <x:v>提供应用CPU、低开销、系统线程模板。</x:v>
      </x:c>
      <x:c r="F36" s="42" t="str">
        <x:v>CapturePreset</x:v>
      </x:c>
      <x:c r="G36" s="42" t="str">
        <x:v>P1</x:v>
      </x:c>
      <x:c r="H36" s="42" t="str">
        <x:v>未分配</x:v>
      </x:c>
      <x:c r="I36" s="42" t="n">
        <x:v>5</x:v>
      </x:c>
      <x:c r="J36" s="42" t="n">
        <x:v>5</x:v>
      </x:c>
      <x:c r="K36" s="42" t="n">
        <x:v>0.75</x:v>
      </x:c>
      <x:c r="L36" s="42" t="str">
        <x:v>P2-009</x:v>
      </x:c>
      <x:c r="M36" s="42" t="str">
        <x:v>未开始</x:v>
      </x:c>
      <x:c r="N36" s="56" t="n">
        <x:v>0</x:v>
      </x:c>
      <x:c r="O36" s="42" t="str">
        <x:v>模板可覆盖且保留用户修改</x:v>
      </x:c>
      <x:c r="P36" s="42" t="str">
        <x:v>配置测试</x:v>
      </x:c>
      <x:c r="Q36" s="43" t="str"/>
    </x:row>
    <x:row r="37">
      <x:c r="A37" s="41" t="str">
        <x:v>P2-011</x:v>
      </x:c>
      <x:c r="B37" s="42" t="str">
        <x:v>P2 设备与采集</x:v>
      </x:c>
      <x:c r="C37" s="42" t="str">
        <x:v>命令生成</x:v>
      </x:c>
      <x:c r="D37" s="42" t="str">
        <x:v>实现Simpleperf命令构建器</x:v>
      </x:c>
      <x:c r="E37" s="42" t="str">
        <x:v>按参数数组生成record命令并进行合法性校验。</x:v>
      </x:c>
      <x:c r="F37" s="42" t="str">
        <x:v>SimpleperfCommandBuilder</x:v>
      </x:c>
      <x:c r="G37" s="42" t="str">
        <x:v>P0</x:v>
      </x:c>
      <x:c r="H37" s="42" t="str">
        <x:v>未分配</x:v>
      </x:c>
      <x:c r="I37" s="42" t="n">
        <x:v>5</x:v>
      </x:c>
      <x:c r="J37" s="42" t="n">
        <x:v>5</x:v>
      </x:c>
      <x:c r="K37" s="42" t="n">
        <x:v>1</x:v>
      </x:c>
      <x:c r="L37" s="42" t="str">
        <x:v>P2-008,P2-009</x:v>
      </x:c>
      <x:c r="M37" s="42" t="str">
        <x:v>未开始</x:v>
      </x:c>
      <x:c r="N37" s="56" t="n">
        <x:v>0</x:v>
      </x:c>
      <x:c r="O37" s="42" t="str">
        <x:v>所有模板生成命令可执行</x:v>
      </x:c>
      <x:c r="P37" s="42" t="str">
        <x:v>Golden command test</x:v>
      </x:c>
      <x:c r="Q37" s="43" t="str"/>
    </x:row>
    <x:row r="38">
      <x:c r="A38" s="41" t="str">
        <x:v>P2-012</x:v>
      </x:c>
      <x:c r="B38" s="42" t="str">
        <x:v>P2 设备与采集</x:v>
      </x:c>
      <x:c r="C38" s="42" t="str">
        <x:v>采集</x:v>
      </x:c>
      <x:c r="D38" s="42" t="str">
        <x:v>实现采集前检查</x:v>
      </x:c>
      <x:c r="E38" s="42" t="str">
        <x:v>检查权限、目标存在、存储空间、事件和回溯能力。</x:v>
      </x:c>
      <x:c r="F38" s="42" t="str">
        <x:v>PreflightService</x:v>
      </x:c>
      <x:c r="G38" s="42" t="str">
        <x:v>P0</x:v>
      </x:c>
      <x:c r="H38" s="42" t="str">
        <x:v>未分配</x:v>
      </x:c>
      <x:c r="I38" s="42" t="n">
        <x:v>5</x:v>
      </x:c>
      <x:c r="J38" s="42" t="n">
        <x:v>5</x:v>
      </x:c>
      <x:c r="K38" s="42" t="n">
        <x:v>1</x:v>
      </x:c>
      <x:c r="L38" s="42" t="str">
        <x:v>P2-004,P2-011</x:v>
      </x:c>
      <x:c r="M38" s="42" t="str">
        <x:v>未开始</x:v>
      </x:c>
      <x:c r="N38" s="56" t="n">
        <x:v>0</x:v>
      </x:c>
      <x:c r="O38" s="42" t="str">
        <x:v>阻断项与警告项区分清楚</x:v>
      </x:c>
      <x:c r="P38" s="42" t="str">
        <x:v>错误注入测试</x:v>
      </x:c>
      <x:c r="Q38" s="43" t="str"/>
    </x:row>
    <x:row r="39">
      <x:c r="A39" s="41" t="str">
        <x:v>P2-013</x:v>
      </x:c>
      <x:c r="B39" s="42" t="str">
        <x:v>P2 设备与采集</x:v>
      </x:c>
      <x:c r="C39" s="42" t="str">
        <x:v>采集</x:v>
      </x:c>
      <x:c r="D39" s="42" t="str">
        <x:v>实现开始采集</x:v>
      </x:c>
      <x:c r="E39" s="42" t="str">
        <x:v>创建远端目录、启动simpleperf并跟踪PID。</x:v>
      </x:c>
      <x:c r="F39" s="42" t="str">
        <x:v>CaptureStartUseCase</x:v>
      </x:c>
      <x:c r="G39" s="42" t="str">
        <x:v>P0</x:v>
      </x:c>
      <x:c r="H39" s="42" t="str">
        <x:v>未分配</x:v>
      </x:c>
      <x:c r="I39" s="42" t="n">
        <x:v>5</x:v>
      </x:c>
      <x:c r="J39" s="42" t="n">
        <x:v>5</x:v>
      </x:c>
      <x:c r="K39" s="42" t="n">
        <x:v>1.25</x:v>
      </x:c>
      <x:c r="L39" s="42" t="str">
        <x:v>P2-012,P1-003</x:v>
      </x:c>
      <x:c r="M39" s="42" t="str">
        <x:v>未开始</x:v>
      </x:c>
      <x:c r="N39" s="56" t="n">
        <x:v>0</x:v>
      </x:c>
      <x:c r="O39" s="42" t="str">
        <x:v>状态进入Recording且日志持续更新</x:v>
      </x:c>
      <x:c r="P39" s="42" t="str">
        <x:v>真实设备集成测试</x:v>
      </x:c>
      <x:c r="Q39" s="43" t="str"/>
    </x:row>
    <x:row r="40">
      <x:c r="A40" s="41" t="str">
        <x:v>P2-014</x:v>
      </x:c>
      <x:c r="B40" s="42" t="str">
        <x:v>P2 设备与采集</x:v>
      </x:c>
      <x:c r="C40" s="42" t="str">
        <x:v>采集</x:v>
      </x:c>
      <x:c r="D40" s="42" t="str">
        <x:v>实现停止采集</x:v>
      </x:c>
      <x:c r="E40" s="42" t="str">
        <x:v>正常中断、等待文件稳定并检查退出结果。</x:v>
      </x:c>
      <x:c r="F40" s="42" t="str">
        <x:v>CaptureStopUseCase</x:v>
      </x:c>
      <x:c r="G40" s="42" t="str">
        <x:v>P0</x:v>
      </x:c>
      <x:c r="H40" s="42" t="str">
        <x:v>未分配</x:v>
      </x:c>
      <x:c r="I40" s="42" t="n">
        <x:v>5</x:v>
      </x:c>
      <x:c r="J40" s="42" t="n">
        <x:v>5</x:v>
      </x:c>
      <x:c r="K40" s="42" t="n">
        <x:v>1</x:v>
      </x:c>
      <x:c r="L40" s="42" t="str">
        <x:v>P2-013</x:v>
      </x:c>
      <x:c r="M40" s="42" t="str">
        <x:v>未开始</x:v>
      </x:c>
      <x:c r="N40" s="56" t="n">
        <x:v>0</x:v>
      </x:c>
      <x:c r="O40" s="42" t="str">
        <x:v>停止后perf.data可读取</x:v>
      </x:c>
      <x:c r="P40" s="42" t="str">
        <x:v>多次停止幂等测试</x:v>
      </x:c>
      <x:c r="Q40" s="43" t="str"/>
    </x:row>
    <x:row r="41">
      <x:c r="A41" s="41" t="str">
        <x:v>P2-015</x:v>
      </x:c>
      <x:c r="B41" s="42" t="str">
        <x:v>P2 设备与采集</x:v>
      </x:c>
      <x:c r="C41" s="42" t="str">
        <x:v>采集</x:v>
      </x:c>
      <x:c r="D41" s="42" t="str">
        <x:v>实现取消和异常清理</x:v>
      </x:c>
      <x:c r="E41" s="42" t="str">
        <x:v>终止进程、清理临时目录并保留必要日志。</x:v>
      </x:c>
      <x:c r="F41" s="42" t="str">
        <x:v>CaptureCancelUseCase</x:v>
      </x:c>
      <x:c r="G41" s="42" t="str">
        <x:v>P0</x:v>
      </x:c>
      <x:c r="H41" s="42" t="str">
        <x:v>未分配</x:v>
      </x:c>
      <x:c r="I41" s="42" t="n">
        <x:v>5</x:v>
      </x:c>
      <x:c r="J41" s="42" t="n">
        <x:v>5</x:v>
      </x:c>
      <x:c r="K41" s="42" t="n">
        <x:v>0.75</x:v>
      </x:c>
      <x:c r="L41" s="42" t="str">
        <x:v>P2-013</x:v>
      </x:c>
      <x:c r="M41" s="42" t="str">
        <x:v>未开始</x:v>
      </x:c>
      <x:c r="N41" s="56" t="n">
        <x:v>0</x:v>
      </x:c>
      <x:c r="O41" s="42" t="str">
        <x:v>取消后无孤儿进程和临时文件泄漏</x:v>
      </x:c>
      <x:c r="P41" s="42" t="str">
        <x:v>拔线/取消测试</x:v>
      </x:c>
      <x:c r="Q41" s="43" t="str"/>
    </x:row>
    <x:row r="42">
      <x:c r="A42" s="41" t="str">
        <x:v>P2-016</x:v>
      </x:c>
      <x:c r="B42" s="42" t="str">
        <x:v>P2 设备与采集</x:v>
      </x:c>
      <x:c r="C42" s="42" t="str">
        <x:v>文件传输</x:v>
      </x:c>
      <x:c r="D42" s="42" t="str">
        <x:v>安全拉取perf.data</x:v>
      </x:c>
      <x:c r="E42" s="42" t="str">
        <x:v>先拉取到.tmp，校验大小和哈希后原子重命名。</x:v>
      </x:c>
      <x:c r="F42" s="42" t="str">
        <x:v>ArtifactTransferService</x:v>
      </x:c>
      <x:c r="G42" s="42" t="str">
        <x:v>P0</x:v>
      </x:c>
      <x:c r="H42" s="42" t="str">
        <x:v>未分配</x:v>
      </x:c>
      <x:c r="I42" s="42" t="n">
        <x:v>5</x:v>
      </x:c>
      <x:c r="J42" s="42" t="n">
        <x:v>5</x:v>
      </x:c>
      <x:c r="K42" s="42" t="n">
        <x:v>1</x:v>
      </x:c>
      <x:c r="L42" s="42" t="str">
        <x:v>P2-014</x:v>
      </x:c>
      <x:c r="M42" s="42" t="str">
        <x:v>未开始</x:v>
      </x:c>
      <x:c r="N42" s="56" t="n">
        <x:v>0</x:v>
      </x:c>
      <x:c r="O42" s="42" t="str">
        <x:v>中断拉取不会覆盖已有有效文件</x:v>
      </x:c>
      <x:c r="P42" s="42" t="str">
        <x:v>中断恢复测试</x:v>
      </x:c>
      <x:c r="Q42" s="43" t="str"/>
    </x:row>
    <x:row r="43">
      <x:c r="A43" s="41" t="str">
        <x:v>P2-017</x:v>
      </x:c>
      <x:c r="B43" s="42" t="str">
        <x:v>P2 设备与采集</x:v>
      </x:c>
      <x:c r="C43" s="42" t="str">
        <x:v>UI</x:v>
      </x:c>
      <x:c r="D43" s="42" t="str">
        <x:v>实现采集进度页</x:v>
      </x:c>
      <x:c r="E43" s="42" t="str">
        <x:v>展示阶段、时长、设备、目标、命令、实时日志。</x:v>
      </x:c>
      <x:c r="F43" s="42" t="str">
        <x:v>CaptureProgressScreen</x:v>
      </x:c>
      <x:c r="G43" s="42" t="str">
        <x:v>P1</x:v>
      </x:c>
      <x:c r="H43" s="42" t="str">
        <x:v>未分配</x:v>
      </x:c>
      <x:c r="I43" s="42" t="n">
        <x:v>5</x:v>
      </x:c>
      <x:c r="J43" s="42" t="n">
        <x:v>5</x:v>
      </x:c>
      <x:c r="K43" s="42" t="n">
        <x:v>1</x:v>
      </x:c>
      <x:c r="L43" s="42" t="str">
        <x:v>P2-013,P1-010</x:v>
      </x:c>
      <x:c r="M43" s="42" t="str">
        <x:v>未开始</x:v>
      </x:c>
      <x:c r="N43" s="56" t="n">
        <x:v>0</x:v>
      </x:c>
      <x:c r="O43" s="42" t="str">
        <x:v>UI可停止/取消且状态同步</x:v>
      </x:c>
      <x:c r="P43" s="42" t="str">
        <x:v>UI集成测试</x:v>
      </x:c>
      <x:c r="Q43" s="43" t="str"/>
    </x:row>
    <x:row r="44">
      <x:c r="A44" s="41" t="str">
        <x:v>P3-001</x:v>
      </x:c>
      <x:c r="B44" s="42" t="str">
        <x:v>P3 转换与解析</x:v>
      </x:c>
      <x:c r="C44" s="42" t="str">
        <x:v>转换</x:v>
      </x:c>
      <x:c r="D44" s="42" t="str">
        <x:v>实现Host simpleperf定位</x:v>
      </x:c>
      <x:c r="E44" s="42" t="str">
        <x:v>按平台选择内置或用户指定的host simpleperf。</x:v>
      </x:c>
      <x:c r="F44" s="42" t="str">
        <x:v>HostSimpleperfLocator</x:v>
      </x:c>
      <x:c r="G44" s="42" t="str">
        <x:v>P0</x:v>
      </x:c>
      <x:c r="H44" s="42" t="str">
        <x:v>未分配</x:v>
      </x:c>
      <x:c r="I44" s="42" t="n">
        <x:v>6</x:v>
      </x:c>
      <x:c r="J44" s="42" t="n">
        <x:v>6</x:v>
      </x:c>
      <x:c r="K44" s="42" t="n">
        <x:v>0.75</x:v>
      </x:c>
      <x:c r="L44" s="42" t="str">
        <x:v>P1-005</x:v>
      </x:c>
      <x:c r="M44" s="42" t="str">
        <x:v>未开始</x:v>
      </x:c>
      <x:c r="N44" s="56" t="n">
        <x:v>0</x:v>
      </x:c>
      <x:c r="O44" s="42" t="str">
        <x:v>平台/架构匹配正确</x:v>
      </x:c>
      <x:c r="P44" s="42" t="str">
        <x:v>跨平台路径测试</x:v>
      </x:c>
      <x:c r="Q44" s="43" t="str"/>
    </x:row>
    <x:row r="45">
      <x:c r="A45" s="41" t="str">
        <x:v>P3-002</x:v>
      </x:c>
      <x:c r="B45" s="42" t="str">
        <x:v>P3 转换与解析</x:v>
      </x:c>
      <x:c r="C45" s="42" t="str">
        <x:v>转换</x:v>
      </x:c>
      <x:c r="D45" s="42" t="str">
        <x:v>实现report-sample执行器</x:v>
      </x:c>
      <x:c r="E45" s="42" t="str">
        <x:v>支持protobuf、callchain、execution type、symdir、mapping。</x:v>
      </x:c>
      <x:c r="F45" s="42" t="str">
        <x:v>ReportSampleConverter</x:v>
      </x:c>
      <x:c r="G45" s="42" t="str">
        <x:v>P0</x:v>
      </x:c>
      <x:c r="H45" s="42" t="str">
        <x:v>未分配</x:v>
      </x:c>
      <x:c r="I45" s="42" t="n">
        <x:v>6</x:v>
      </x:c>
      <x:c r="J45" s="42" t="n">
        <x:v>6</x:v>
      </x:c>
      <x:c r="K45" s="42" t="n">
        <x:v>1</x:v>
      </x:c>
      <x:c r="L45" s="42" t="str">
        <x:v>P3-001,P2-016</x:v>
      </x:c>
      <x:c r="M45" s="42" t="str">
        <x:v>未开始</x:v>
      </x:c>
      <x:c r="N45" s="56" t="n">
        <x:v>0</x:v>
      </x:c>
      <x:c r="O45" s="42" t="str">
        <x:v>转换命令与日志可追踪</x:v>
      </x:c>
      <x:c r="P45" s="42" t="str">
        <x:v>真实perf.data测试</x:v>
      </x:c>
      <x:c r="Q45" s="43" t="str"/>
    </x:row>
    <x:row r="46">
      <x:c r="A46" s="41" t="str">
        <x:v>P3-003</x:v>
      </x:c>
      <x:c r="B46" s="42" t="str">
        <x:v>P3 转换与解析</x:v>
      </x:c>
      <x:c r="C46" s="42" t="str">
        <x:v>转换</x:v>
      </x:c>
      <x:c r="D46" s="42" t="str">
        <x:v>符号目录配置</x:v>
      </x:c>
      <x:c r="E46" s="42" t="str">
        <x:v>允许选择symbols/binary_cache并持久化。</x:v>
      </x:c>
      <x:c r="F46" s="42" t="str">
        <x:v>SymbolInputConfig</x:v>
      </x:c>
      <x:c r="G46" s="42" t="str">
        <x:v>P1</x:v>
      </x:c>
      <x:c r="H46" s="42" t="str">
        <x:v>未分配</x:v>
      </x:c>
      <x:c r="I46" s="42" t="n">
        <x:v>6</x:v>
      </x:c>
      <x:c r="J46" s="42" t="n">
        <x:v>6</x:v>
      </x:c>
      <x:c r="K46" s="42" t="n">
        <x:v>0.75</x:v>
      </x:c>
      <x:c r="L46" s="42" t="str">
        <x:v>P3-002</x:v>
      </x:c>
      <x:c r="M46" s="42" t="str">
        <x:v>未开始</x:v>
      </x:c>
      <x:c r="N46" s="56" t="n">
        <x:v>0</x:v>
      </x:c>
      <x:c r="O46" s="42" t="str">
        <x:v>无符号和有符号转换均可运行</x:v>
      </x:c>
      <x:c r="P46" s="42" t="str">
        <x:v>Unknown比例对比</x:v>
      </x:c>
      <x:c r="Q46" s="43" t="str"/>
    </x:row>
    <x:row r="47">
      <x:c r="A47" s="41" t="str">
        <x:v>P3-004</x:v>
      </x:c>
      <x:c r="B47" s="42" t="str">
        <x:v>P3 转换与解析</x:v>
      </x:c>
      <x:c r="C47" s="42" t="str">
        <x:v>转换</x:v>
      </x:c>
      <x:c r="D47" s="42" t="str">
        <x:v>ProGuard mapping支持</x:v>
      </x:c>
      <x:c r="E47" s="42" t="str">
        <x:v>允许选择mapping.txt并记录哈希。</x:v>
      </x:c>
      <x:c r="F47" s="42" t="str">
        <x:v>MappingConfig</x:v>
      </x:c>
      <x:c r="G47" s="42" t="str">
        <x:v>P1</x:v>
      </x:c>
      <x:c r="H47" s="42" t="str">
        <x:v>未分配</x:v>
      </x:c>
      <x:c r="I47" s="42" t="n">
        <x:v>6</x:v>
      </x:c>
      <x:c r="J47" s="42" t="n">
        <x:v>6</x:v>
      </x:c>
      <x:c r="K47" s="42" t="n">
        <x:v>0.5</x:v>
      </x:c>
      <x:c r="L47" s="42" t="str">
        <x:v>P3-002</x:v>
      </x:c>
      <x:c r="M47" s="42" t="str">
        <x:v>未开始</x:v>
      </x:c>
      <x:c r="N47" s="56" t="n">
        <x:v>0</x:v>
      </x:c>
      <x:c r="O47" s="42" t="str">
        <x:v>混淆符号可恢复或给出清晰失败信息</x:v>
      </x:c>
      <x:c r="P47" s="42" t="str">
        <x:v>混淆应用样本</x:v>
      </x:c>
      <x:c r="Q47" s="43" t="str"/>
    </x:row>
    <x:row r="48">
      <x:c r="A48" s="41" t="str">
        <x:v>P3-005</x:v>
      </x:c>
      <x:c r="B48" s="42" t="str">
        <x:v>P3 转换与解析</x:v>
      </x:c>
      <x:c r="C48" s="42" t="str">
        <x:v>协议</x:v>
      </x:c>
      <x:c r="D48" s="42" t="str">
        <x:v>生成并固定proto绑定代码</x:v>
      </x:c>
      <x:c r="E48" s="42" t="str">
        <x:v>从AOSP proto生成Kotlin/Java类并记录来源版本。</x:v>
      </x:c>
      <x:c r="F48" s="42" t="str">
        <x:v>Proto bindings</x:v>
      </x:c>
      <x:c r="G48" s="42" t="str">
        <x:v>P0</x:v>
      </x:c>
      <x:c r="H48" s="42" t="str">
        <x:v>未分配</x:v>
      </x:c>
      <x:c r="I48" s="42" t="n">
        <x:v>6</x:v>
      </x:c>
      <x:c r="J48" s="42" t="n">
        <x:v>6</x:v>
      </x:c>
      <x:c r="K48" s="42" t="n">
        <x:v>0.75</x:v>
      </x:c>
      <x:c r="L48" s="42" t="str">
        <x:v>P0-010</x:v>
      </x:c>
      <x:c r="M48" s="42" t="str">
        <x:v>未开始</x:v>
      </x:c>
      <x:c r="N48" s="56" t="n">
        <x:v>0</x:v>
      </x:c>
      <x:c r="O48" s="42" t="str">
        <x:v>构建可重复且不依赖在线生成</x:v>
      </x:c>
      <x:c r="P48" s="42" t="str">
        <x:v>CI构建测试</x:v>
      </x:c>
      <x:c r="Q48" s="43" t="str"/>
    </x:row>
    <x:row r="49">
      <x:c r="A49" s="41" t="str">
        <x:v>P3-006</x:v>
      </x:c>
      <x:c r="B49" s="42" t="str">
        <x:v>P3 转换与解析</x:v>
      </x:c>
      <x:c r="C49" s="42" t="str">
        <x:v>解析</x:v>
      </x:c>
      <x:c r="D49" s="42" t="str">
        <x:v>实现协议头校验</x:v>
      </x:c>
      <x:c r="E49" s="42" t="str">
        <x:v>校验SIMPLEPERF、版本和终止标记。</x:v>
      </x:c>
      <x:c r="F49" s="42" t="str">
        <x:v>ProtoHeaderReader</x:v>
      </x:c>
      <x:c r="G49" s="42" t="str">
        <x:v>P0</x:v>
      </x:c>
      <x:c r="H49" s="42" t="str">
        <x:v>未分配</x:v>
      </x:c>
      <x:c r="I49" s="42" t="n">
        <x:v>6</x:v>
      </x:c>
      <x:c r="J49" s="42" t="n">
        <x:v>6</x:v>
      </x:c>
      <x:c r="K49" s="42" t="n">
        <x:v>0.75</x:v>
      </x:c>
      <x:c r="L49" s="42" t="str">
        <x:v>P3-005</x:v>
      </x:c>
      <x:c r="M49" s="42" t="str">
        <x:v>未开始</x:v>
      </x:c>
      <x:c r="N49" s="56" t="n">
        <x:v>0</x:v>
      </x:c>
      <x:c r="O49" s="42" t="str">
        <x:v>非法头、版本、截断均明确报错</x:v>
      </x:c>
      <x:c r="P49" s="42" t="str">
        <x:v>Parser单测</x:v>
      </x:c>
      <x:c r="Q49" s="43" t="str"/>
    </x:row>
    <x:row r="50">
      <x:c r="A50" s="41" t="str">
        <x:v>P3-007</x:v>
      </x:c>
      <x:c r="B50" s="42" t="str">
        <x:v>P3 转换与解析</x:v>
      </x:c>
      <x:c r="C50" s="42" t="str">
        <x:v>解析</x:v>
      </x:c>
      <x:c r="D50" s="42" t="str">
        <x:v>实现长度前缀Record读取</x:v>
      </x:c>
      <x:c r="E50" s="42" t="str">
        <x:v>限制最大Record大小并支持未知字段。</x:v>
      </x:c>
      <x:c r="F50" s="42" t="str">
        <x:v>RecordStreamReader</x:v>
      </x:c>
      <x:c r="G50" s="42" t="str">
        <x:v>P0</x:v>
      </x:c>
      <x:c r="H50" s="42" t="str">
        <x:v>未分配</x:v>
      </x:c>
      <x:c r="I50" s="42" t="n">
        <x:v>6</x:v>
      </x:c>
      <x:c r="J50" s="42" t="n">
        <x:v>6</x:v>
      </x:c>
      <x:c r="K50" s="42" t="n">
        <x:v>1</x:v>
      </x:c>
      <x:c r="L50" s="42" t="str">
        <x:v>P3-006</x:v>
      </x:c>
      <x:c r="M50" s="42" t="str">
        <x:v>未开始</x:v>
      </x:c>
      <x:c r="N50" s="56" t="n">
        <x:v>0</x:v>
      </x:c>
      <x:c r="O50" s="42" t="str">
        <x:v>百万级Record可流式遍历</x:v>
      </x:c>
      <x:c r="P50" s="42" t="str">
        <x:v>大文件测试</x:v>
      </x:c>
      <x:c r="Q50" s="43" t="str"/>
    </x:row>
    <x:row r="51">
      <x:c r="A51" s="41" t="str">
        <x:v>P3-008</x:v>
      </x:c>
      <x:c r="B51" s="42" t="str">
        <x:v>P3 转换与解析</x:v>
      </x:c>
      <x:c r="C51" s="42" t="str">
        <x:v>解析</x:v>
      </x:c>
      <x:c r="D51" s="42" t="str">
        <x:v>解析MetaInfo与EventType</x:v>
      </x:c>
      <x:c r="E51" s="42" t="str">
        <x:v>提取事件名、应用类型、SDK、build type、offcpu。</x:v>
      </x:c>
      <x:c r="F51" s="42" t="str">
        <x:v>MetaInfoMapper</x:v>
      </x:c>
      <x:c r="G51" s="42" t="str">
        <x:v>P0</x:v>
      </x:c>
      <x:c r="H51" s="42" t="str">
        <x:v>未分配</x:v>
      </x:c>
      <x:c r="I51" s="42" t="n">
        <x:v>6</x:v>
      </x:c>
      <x:c r="J51" s="42" t="n">
        <x:v>6</x:v>
      </x:c>
      <x:c r="K51" s="42" t="n">
        <x:v>0.75</x:v>
      </x:c>
      <x:c r="L51" s="42" t="str">
        <x:v>P3-007</x:v>
      </x:c>
      <x:c r="M51" s="42" t="str">
        <x:v>未开始</x:v>
      </x:c>
      <x:c r="N51" s="56" t="n">
        <x:v>0</x:v>
      </x:c>
      <x:c r="O51" s="42" t="str">
        <x:v>事件元数据完整写入统一模型</x:v>
      </x:c>
      <x:c r="P51" s="42" t="str">
        <x:v>Golden数据验证</x:v>
      </x:c>
      <x:c r="Q51" s="43" t="str"/>
    </x:row>
    <x:row r="52">
      <x:c r="A52" s="41" t="str">
        <x:v>P3-009</x:v>
      </x:c>
      <x:c r="B52" s="42" t="str">
        <x:v>P3 转换与解析</x:v>
      </x:c>
      <x:c r="C52" s="42" t="str">
        <x:v>解析</x:v>
      </x:c>
      <x:c r="D52" s="42" t="str">
        <x:v>解析File与Symbol</x:v>
      </x:c>
      <x:c r="E52" s="42" t="str">
        <x:v>建立文件和符号临时索引。</x:v>
      </x:c>
      <x:c r="F52" s="42" t="str">
        <x:v>FileSymbolMapper</x:v>
      </x:c>
      <x:c r="G52" s="42" t="str">
        <x:v>P0</x:v>
      </x:c>
      <x:c r="H52" s="42" t="str">
        <x:v>未分配</x:v>
      </x:c>
      <x:c r="I52" s="42" t="n">
        <x:v>6</x:v>
      </x:c>
      <x:c r="J52" s="42" t="n">
        <x:v>6</x:v>
      </x:c>
      <x:c r="K52" s="42" t="n">
        <x:v>1</x:v>
      </x:c>
      <x:c r="L52" s="42" t="str">
        <x:v>P3-007</x:v>
      </x:c>
      <x:c r="M52" s="42" t="str">
        <x:v>未开始</x:v>
      </x:c>
      <x:c r="N52" s="56" t="n">
        <x:v>0</x:v>
      </x:c>
      <x:c r="O52" s="42" t="str">
        <x:v>符号ID和文件ID引用有效</x:v>
      </x:c>
      <x:c r="P52" s="42" t="str">
        <x:v>重复ID测试</x:v>
      </x:c>
      <x:c r="Q52" s="43" t="str"/>
    </x:row>
    <x:row r="53">
      <x:c r="A53" s="41" t="str">
        <x:v>P3-010</x:v>
      </x:c>
      <x:c r="B53" s="42" t="str">
        <x:v>P3 转换与解析</x:v>
      </x:c>
      <x:c r="C53" s="42" t="str">
        <x:v>解析</x:v>
      </x:c>
      <x:c r="D53" s="42" t="str">
        <x:v>解析Thread与Process</x:v>
      </x:c>
      <x:c r="E53" s="42" t="str">
        <x:v>建立PID/TID/线程名模型。</x:v>
      </x:c>
      <x:c r="F53" s="42" t="str">
        <x:v>ThreadMapper</x:v>
      </x:c>
      <x:c r="G53" s="42" t="str">
        <x:v>P0</x:v>
      </x:c>
      <x:c r="H53" s="42" t="str">
        <x:v>未分配</x:v>
      </x:c>
      <x:c r="I53" s="42" t="n">
        <x:v>6</x:v>
      </x:c>
      <x:c r="J53" s="42" t="n">
        <x:v>6</x:v>
      </x:c>
      <x:c r="K53" s="42" t="n">
        <x:v>0.75</x:v>
      </x:c>
      <x:c r="L53" s="42" t="str">
        <x:v>P3-007</x:v>
      </x:c>
      <x:c r="M53" s="42" t="str">
        <x:v>未开始</x:v>
      </x:c>
      <x:c r="N53" s="56" t="n">
        <x:v>0</x:v>
      </x:c>
      <x:c r="O53" s="42" t="str">
        <x:v>同PID多线程关系正确</x:v>
      </x:c>
      <x:c r="P53" s="42" t="str">
        <x:v>多进程数据测试</x:v>
      </x:c>
      <x:c r="Q53" s="43" t="str"/>
    </x:row>
    <x:row r="54">
      <x:c r="A54" s="41" t="str">
        <x:v>P3-011</x:v>
      </x:c>
      <x:c r="B54" s="42" t="str">
        <x:v>P3 转换与解析</x:v>
      </x:c>
      <x:c r="C54" s="42" t="str">
        <x:v>解析</x:v>
      </x:c>
      <x:c r="D54" s="42" t="str">
        <x:v>解析Sample与Callchain</x:v>
      </x:c>
      <x:c r="E54" s="42" t="str">
        <x:v>提取时间、线程、event count、帧和执行类型。</x:v>
      </x:c>
      <x:c r="F54" s="42" t="str">
        <x:v>SampleMapper</x:v>
      </x:c>
      <x:c r="G54" s="42" t="str">
        <x:v>P0</x:v>
      </x:c>
      <x:c r="H54" s="42" t="str">
        <x:v>未分配</x:v>
      </x:c>
      <x:c r="I54" s="42" t="n">
        <x:v>7</x:v>
      </x:c>
      <x:c r="J54" s="42" t="n">
        <x:v>7</x:v>
      </x:c>
      <x:c r="K54" s="42" t="n">
        <x:v>1.5</x:v>
      </x:c>
      <x:c r="L54" s="42" t="str">
        <x:v>P3-008,P3-009,P3-010</x:v>
      </x:c>
      <x:c r="M54" s="42" t="str">
        <x:v>未开始</x:v>
      </x:c>
      <x:c r="N54" s="56" t="n">
        <x:v>0</x:v>
      </x:c>
      <x:c r="O54" s="42" t="str">
        <x:v>Top函数与官方report基本一致</x:v>
      </x:c>
      <x:c r="P54" s="42" t="str">
        <x:v>结果对照测试</x:v>
      </x:c>
      <x:c r="Q54" s="43" t="str"/>
    </x:row>
    <x:row r="55">
      <x:c r="A55" s="41" t="str">
        <x:v>P3-012</x:v>
      </x:c>
      <x:c r="B55" s="42" t="str">
        <x:v>P3 转换与解析</x:v>
      </x:c>
      <x:c r="C55" s="42" t="str">
        <x:v>解析</x:v>
      </x:c>
      <x:c r="D55" s="42" t="str">
        <x:v>解析LostSituation</x:v>
      </x:c>
      <x:c r="E55" s="42" t="str">
        <x:v>统计丢失样本和比例。</x:v>
      </x:c>
      <x:c r="F55" s="42" t="str">
        <x:v>LostSampleMapper</x:v>
      </x:c>
      <x:c r="G55" s="42" t="str">
        <x:v>P1</x:v>
      </x:c>
      <x:c r="H55" s="42" t="str">
        <x:v>未分配</x:v>
      </x:c>
      <x:c r="I55" s="42" t="n">
        <x:v>7</x:v>
      </x:c>
      <x:c r="J55" s="42" t="n">
        <x:v>7</x:v>
      </x:c>
      <x:c r="K55" s="42" t="n">
        <x:v>0.5</x:v>
      </x:c>
      <x:c r="L55" s="42" t="str">
        <x:v>P3-007</x:v>
      </x:c>
      <x:c r="M55" s="42" t="str">
        <x:v>未开始</x:v>
      </x:c>
      <x:c r="N55" s="56" t="n">
        <x:v>0</x:v>
      </x:c>
      <x:c r="O55" s="42" t="str">
        <x:v>Overview可显示丢失数据</x:v>
      </x:c>
      <x:c r="P55" s="42" t="str">
        <x:v>lost样本fixture</x:v>
      </x:c>
      <x:c r="Q55" s="43" t="str"/>
    </x:row>
    <x:row r="56">
      <x:c r="A56" s="41" t="str">
        <x:v>P3-013</x:v>
      </x:c>
      <x:c r="B56" s="42" t="str">
        <x:v>P3 转换与解析</x:v>
      </x:c>
      <x:c r="C56" s="42" t="str">
        <x:v>解析</x:v>
      </x:c>
      <x:c r="D56" s="42" t="str">
        <x:v>解析ContextSwitch</x:v>
      </x:c>
      <x:c r="E56" s="42" t="str">
        <x:v>保存切入/切出时间和线程映射。</x:v>
      </x:c>
      <x:c r="F56" s="42" t="str">
        <x:v>ContextSwitchMapper</x:v>
      </x:c>
      <x:c r="G56" s="42" t="str">
        <x:v>P1</x:v>
      </x:c>
      <x:c r="H56" s="42" t="str">
        <x:v>未分配</x:v>
      </x:c>
      <x:c r="I56" s="42" t="n">
        <x:v>7</x:v>
      </x:c>
      <x:c r="J56" s="42" t="n">
        <x:v>7</x:v>
      </x:c>
      <x:c r="K56" s="42" t="n">
        <x:v>0.75</x:v>
      </x:c>
      <x:c r="L56" s="42" t="str">
        <x:v>P3-010</x:v>
      </x:c>
      <x:c r="M56" s="42" t="str">
        <x:v>未开始</x:v>
      </x:c>
      <x:c r="N56" s="56" t="n">
        <x:v>0</x:v>
      </x:c>
      <x:c r="O56" s="42" t="str">
        <x:v>Off-CPU数据可被时间线消费</x:v>
      </x:c>
      <x:c r="P56" s="42" t="str">
        <x:v>offcpu fixture</x:v>
      </x:c>
      <x:c r="Q56" s="43" t="str"/>
    </x:row>
    <x:row r="57">
      <x:c r="A57" s="41" t="str">
        <x:v>P3-014</x:v>
      </x:c>
      <x:c r="B57" s="42" t="str">
        <x:v>P3 转换与解析</x:v>
      </x:c>
      <x:c r="C57" s="42" t="str">
        <x:v>解析</x:v>
      </x:c>
      <x:c r="D57" s="42" t="str">
        <x:v>解析Unwind错误</x:v>
      </x:c>
      <x:c r="E57" s="42" t="str">
        <x:v>映射错误码、地址和统计分布。</x:v>
      </x:c>
      <x:c r="F57" s="42" t="str">
        <x:v>UnwindErrorMapper</x:v>
      </x:c>
      <x:c r="G57" s="42" t="str">
        <x:v>P1</x:v>
      </x:c>
      <x:c r="H57" s="42" t="str">
        <x:v>未分配</x:v>
      </x:c>
      <x:c r="I57" s="42" t="n">
        <x:v>7</x:v>
      </x:c>
      <x:c r="J57" s="42" t="n">
        <x:v>7</x:v>
      </x:c>
      <x:c r="K57" s="42" t="n">
        <x:v>0.75</x:v>
      </x:c>
      <x:c r="L57" s="42" t="str">
        <x:v>P3-011</x:v>
      </x:c>
      <x:c r="M57" s="42" t="str">
        <x:v>未开始</x:v>
      </x:c>
      <x:c r="N57" s="56" t="n">
        <x:v>0</x:v>
      </x:c>
      <x:c r="O57" s="42" t="str">
        <x:v>数据质量页能定位主要回溯失败类型</x:v>
      </x:c>
      <x:c r="P57" s="42" t="str">
        <x:v>broken unwind fixture</x:v>
      </x:c>
      <x:c r="Q57" s="43" t="str"/>
    </x:row>
    <x:row r="58">
      <x:c r="A58" s="41" t="str">
        <x:v>P3-015</x:v>
      </x:c>
      <x:c r="B58" s="42" t="str">
        <x:v>P3 转换与解析</x:v>
      </x:c>
      <x:c r="C58" s="42" t="str">
        <x:v>进度</x:v>
      </x:c>
      <x:c r="D58" s="42" t="str">
        <x:v>实现解析进度与取消</x:v>
      </x:c>
      <x:c r="E58" s="42" t="str">
        <x:v>按文件字节和Record数量回调进度。</x:v>
      </x:c>
      <x:c r="F58" s="42" t="str">
        <x:v>ImportProgress</x:v>
      </x:c>
      <x:c r="G58" s="42" t="str">
        <x:v>P1</x:v>
      </x:c>
      <x:c r="H58" s="42" t="str">
        <x:v>未分配</x:v>
      </x:c>
      <x:c r="I58" s="42" t="n">
        <x:v>7</x:v>
      </x:c>
      <x:c r="J58" s="42" t="n">
        <x:v>7</x:v>
      </x:c>
      <x:c r="K58" s="42" t="n">
        <x:v>0.75</x:v>
      </x:c>
      <x:c r="L58" s="42" t="str">
        <x:v>P3-007,P1-008</x:v>
      </x:c>
      <x:c r="M58" s="42" t="str">
        <x:v>未开始</x:v>
      </x:c>
      <x:c r="N58" s="56" t="n">
        <x:v>0</x:v>
      </x:c>
      <x:c r="O58" s="42" t="str">
        <x:v>取消后释放文件和数据库事务</x:v>
      </x:c>
      <x:c r="P58" s="42" t="str">
        <x:v>取消测试</x:v>
      </x:c>
      <x:c r="Q58" s="43" t="str"/>
    </x:row>
    <x:row r="59">
      <x:c r="A59" s="41" t="str">
        <x:v>P3-016</x:v>
      </x:c>
      <x:c r="B59" s="42" t="str">
        <x:v>P3 转换与解析</x:v>
      </x:c>
      <x:c r="C59" s="42" t="str">
        <x:v>测试</x:v>
      </x:c>
      <x:c r="D59" s="42" t="str">
        <x:v>建立Parser Golden测试集</x:v>
      </x:c>
      <x:c r="E59" s="42" t="str">
        <x:v>覆盖正常、截断、未知字段、超大Record和多事件。</x:v>
      </x:c>
      <x:c r="F59" s="42" t="str">
        <x:v>Parser Golden Tests</x:v>
      </x:c>
      <x:c r="G59" s="42" t="str">
        <x:v>P0</x:v>
      </x:c>
      <x:c r="H59" s="42" t="str">
        <x:v>未分配</x:v>
      </x:c>
      <x:c r="I59" s="42" t="n">
        <x:v>7</x:v>
      </x:c>
      <x:c r="J59" s="42" t="n">
        <x:v>7</x:v>
      </x:c>
      <x:c r="K59" s="42" t="n">
        <x:v>1.25</x:v>
      </x:c>
      <x:c r="L59" s="42" t="str">
        <x:v>P3-011,P3-014</x:v>
      </x:c>
      <x:c r="M59" s="42" t="str">
        <x:v>未开始</x:v>
      </x:c>
      <x:c r="N59" s="56" t="n">
        <x:v>0</x:v>
      </x:c>
      <x:c r="O59" s="42" t="str">
        <x:v>核心字段和统计值固定回归</x:v>
      </x:c>
      <x:c r="P59" s="42" t="str">
        <x:v>CI执行</x:v>
      </x:c>
      <x:c r="Q59" s="43" t="str"/>
    </x:row>
    <x:row r="60">
      <x:c r="A60" s="41" t="str">
        <x:v>P4-001</x:v>
      </x:c>
      <x:c r="B60" s="42" t="str">
        <x:v>P4 数据库与聚合</x:v>
      </x:c>
      <x:c r="C60" s="42" t="str">
        <x:v>数据库</x:v>
      </x:c>
      <x:c r="D60" s="42" t="str">
        <x:v>设计SQLite Schema v1</x:v>
      </x:c>
      <x:c r="E60" s="42" t="str">
        <x:v>定义session、thread、frame、callsite、sample等表。</x:v>
      </x:c>
      <x:c r="F60" s="42" t="str">
        <x:v>schema.sql</x:v>
      </x:c>
      <x:c r="G60" s="42" t="str">
        <x:v>P0</x:v>
      </x:c>
      <x:c r="H60" s="42" t="str">
        <x:v>未分配</x:v>
      </x:c>
      <x:c r="I60" s="42" t="n">
        <x:v>8</x:v>
      </x:c>
      <x:c r="J60" s="42" t="n">
        <x:v>8</x:v>
      </x:c>
      <x:c r="K60" s="42" t="n">
        <x:v>1</x:v>
      </x:c>
      <x:c r="L60" s="42" t="str">
        <x:v>P3-011</x:v>
      </x:c>
      <x:c r="M60" s="42" t="str">
        <x:v>未开始</x:v>
      </x:c>
      <x:c r="N60" s="56" t="n">
        <x:v>0</x:v>
      </x:c>
      <x:c r="O60" s="42" t="str">
        <x:v>满足查询和后续迁移需求</x:v>
      </x:c>
      <x:c r="P60" s="42" t="str">
        <x:v>Schema评审</x:v>
      </x:c>
      <x:c r="Q60" s="43" t="str"/>
    </x:row>
    <x:row r="61">
      <x:c r="A61" s="41" t="str">
        <x:v>P4-002</x:v>
      </x:c>
      <x:c r="B61" s="42" t="str">
        <x:v>P4 数据库与聚合</x:v>
      </x:c>
      <x:c r="C61" s="42" t="str">
        <x:v>数据库</x:v>
      </x:c>
      <x:c r="D61" s="42" t="str">
        <x:v>实现数据库创建与迁移</x:v>
      </x:c>
      <x:c r="E61" s="42" t="str">
        <x:v>支持schema_version、事务和失败回滚。</x:v>
      </x:c>
      <x:c r="F61" s="42" t="str">
        <x:v>DatabaseManager</x:v>
      </x:c>
      <x:c r="G61" s="42" t="str">
        <x:v>P0</x:v>
      </x:c>
      <x:c r="H61" s="42" t="str">
        <x:v>未分配</x:v>
      </x:c>
      <x:c r="I61" s="42" t="n">
        <x:v>8</x:v>
      </x:c>
      <x:c r="J61" s="42" t="n">
        <x:v>8</x:v>
      </x:c>
      <x:c r="K61" s="42" t="n">
        <x:v>1</x:v>
      </x:c>
      <x:c r="L61" s="42" t="str">
        <x:v>P4-001</x:v>
      </x:c>
      <x:c r="M61" s="42" t="str">
        <x:v>未开始</x:v>
      </x:c>
      <x:c r="N61" s="56" t="n">
        <x:v>0</x:v>
      </x:c>
      <x:c r="O61" s="42" t="str">
        <x:v>升级/降级策略明确，损坏不覆盖原库</x:v>
      </x:c>
      <x:c r="P61" s="42" t="str">
        <x:v>Migration测试</x:v>
      </x:c>
      <x:c r="Q61" s="43" t="str"/>
    </x:row>
    <x:row r="62">
      <x:c r="A62" s="41" t="str">
        <x:v>P4-003</x:v>
      </x:c>
      <x:c r="B62" s="42" t="str">
        <x:v>P4 数据库与聚合</x:v>
      </x:c>
      <x:c r="C62" s="42" t="str">
        <x:v>数据库</x:v>
      </x:c>
      <x:c r="D62" s="42" t="str">
        <x:v>实现WAL和Checkpoint策略</x:v>
      </x:c>
      <x:c r="E62" s="42" t="str">
        <x:v>导入时WAL，导出前checkpoint并关闭连接。</x:v>
      </x:c>
      <x:c r="F62" s="42" t="str">
        <x:v>DatabaseLifecycle</x:v>
      </x:c>
      <x:c r="G62" s="42" t="str">
        <x:v>P1</x:v>
      </x:c>
      <x:c r="H62" s="42" t="str">
        <x:v>未分配</x:v>
      </x:c>
      <x:c r="I62" s="42" t="n">
        <x:v>8</x:v>
      </x:c>
      <x:c r="J62" s="42" t="n">
        <x:v>8</x:v>
      </x:c>
      <x:c r="K62" s="42" t="n">
        <x:v>0.75</x:v>
      </x:c>
      <x:c r="L62" s="42" t="str">
        <x:v>P4-002</x:v>
      </x:c>
      <x:c r="M62" s="42" t="str">
        <x:v>未开始</x:v>
      </x:c>
      <x:c r="N62" s="56" t="n">
        <x:v>0</x:v>
      </x:c>
      <x:c r="O62" s="42" t="str">
        <x:v>复制Session不会遗漏WAL数据</x:v>
      </x:c>
      <x:c r="P62" s="42" t="str">
        <x:v>断电/复制测试</x:v>
      </x:c>
      <x:c r="Q62" s="43" t="str"/>
    </x:row>
    <x:row r="63">
      <x:c r="A63" s="41" t="str">
        <x:v>P4-004</x:v>
      </x:c>
      <x:c r="B63" s="42" t="str">
        <x:v>P4 数据库与聚合</x:v>
      </x:c>
      <x:c r="C63" s="42" t="str">
        <x:v>写入</x:v>
      </x:c>
      <x:c r="D63" s="42" t="str">
        <x:v>实现ProfileSink接口</x:v>
      </x:c>
      <x:c r="E63" s="42" t="str">
        <x:v>Importer只依赖Sink，不依赖SQLite实现。</x:v>
      </x:c>
      <x:c r="F63" s="42" t="str">
        <x:v>ProfileSink</x:v>
      </x:c>
      <x:c r="G63" s="42" t="str">
        <x:v>P0</x:v>
      </x:c>
      <x:c r="H63" s="42" t="str">
        <x:v>未分配</x:v>
      </x:c>
      <x:c r="I63" s="42" t="n">
        <x:v>8</x:v>
      </x:c>
      <x:c r="J63" s="42" t="n">
        <x:v>8</x:v>
      </x:c>
      <x:c r="K63" s="42" t="n">
        <x:v>0.75</x:v>
      </x:c>
      <x:c r="L63" s="42" t="str">
        <x:v>P4-002,P3-007</x:v>
      </x:c>
      <x:c r="M63" s="42" t="str">
        <x:v>未开始</x:v>
      </x:c>
      <x:c r="N63" s="56" t="n">
        <x:v>0</x:v>
      </x:c>
      <x:c r="O63" s="42" t="str">
        <x:v>可替换内存Sink用于测试</x:v>
      </x:c>
      <x:c r="P63" s="42" t="str">
        <x:v>接口测试</x:v>
      </x:c>
      <x:c r="Q63" s="43" t="str"/>
    </x:row>
    <x:row r="64">
      <x:c r="A64" s="41" t="str">
        <x:v>P4-005</x:v>
      </x:c>
      <x:c r="B64" s="42" t="str">
        <x:v>P4 数据库与聚合</x:v>
      </x:c>
      <x:c r="C64" s="42" t="str">
        <x:v>写入</x:v>
      </x:c>
      <x:c r="D64" s="42" t="str">
        <x:v>实现批量写入</x:v>
      </x:c>
      <x:c r="E64" s="42" t="str">
        <x:v>按批次写File/Thread/Sample并控制事务大小。</x:v>
      </x:c>
      <x:c r="F64" s="42" t="str">
        <x:v>SqliteProfileSink</x:v>
      </x:c>
      <x:c r="G64" s="42" t="str">
        <x:v>P0</x:v>
      </x:c>
      <x:c r="H64" s="42" t="str">
        <x:v>未分配</x:v>
      </x:c>
      <x:c r="I64" s="42" t="n">
        <x:v>8</x:v>
      </x:c>
      <x:c r="J64" s="42" t="n">
        <x:v>8</x:v>
      </x:c>
      <x:c r="K64" s="42" t="n">
        <x:v>1.25</x:v>
      </x:c>
      <x:c r="L64" s="42" t="str">
        <x:v>P4-004</x:v>
      </x:c>
      <x:c r="M64" s="42" t="str">
        <x:v>未开始</x:v>
      </x:c>
      <x:c r="N64" s="56" t="n">
        <x:v>0</x:v>
      </x:c>
      <x:c r="O64" s="42" t="str">
        <x:v>百万样本导入无OOM且吞吐达标</x:v>
      </x:c>
      <x:c r="P64" s="42" t="str">
        <x:v>Benchmark</x:v>
      </x:c>
      <x:c r="Q64" s="43" t="str"/>
    </x:row>
    <x:row r="65">
      <x:c r="A65" s="41" t="str">
        <x:v>P4-006</x:v>
      </x:c>
      <x:c r="B65" s="42" t="str">
        <x:v>P4 数据库与聚合</x:v>
      </x:c>
      <x:c r="C65" s="42" t="str">
        <x:v>Intern</x:v>
      </x:c>
      <x:c r="D65" s="42" t="str">
        <x:v>实现Frame Intern</x:v>
      </x:c>
      <x:c r="E65" s="42" t="str">
        <x:v>以file/symbol/vaddr/executionType去重。</x:v>
      </x:c>
      <x:c r="F65" s="42" t="str">
        <x:v>FrameInterner</x:v>
      </x:c>
      <x:c r="G65" s="42" t="str">
        <x:v>P0</x:v>
      </x:c>
      <x:c r="H65" s="42" t="str">
        <x:v>未分配</x:v>
      </x:c>
      <x:c r="I65" s="42" t="n">
        <x:v>8</x:v>
      </x:c>
      <x:c r="J65" s="42" t="n">
        <x:v>8</x:v>
      </x:c>
      <x:c r="K65" s="42" t="n">
        <x:v>1</x:v>
      </x:c>
      <x:c r="L65" s="42" t="str">
        <x:v>P3-011,P4-005</x:v>
      </x:c>
      <x:c r="M65" s="42" t="str">
        <x:v>未开始</x:v>
      </x:c>
      <x:c r="N65" s="56" t="n">
        <x:v>0</x:v>
      </x:c>
      <x:c r="O65" s="42" t="str">
        <x:v>相同Frame只保存一次</x:v>
      </x:c>
      <x:c r="P65" s="42" t="str">
        <x:v>去重单测</x:v>
      </x:c>
      <x:c r="Q65" s="43" t="str"/>
    </x:row>
    <x:row r="66">
      <x:c r="A66" s="41" t="str">
        <x:v>P4-007</x:v>
      </x:c>
      <x:c r="B66" s="42" t="str">
        <x:v>P4 数据库与聚合</x:v>
      </x:c>
      <x:c r="C66" s="42" t="str">
        <x:v>Intern</x:v>
      </x:c>
      <x:c r="D66" s="42" t="str">
        <x:v>实现Callsite Intern</x:v>
      </x:c>
      <x:c r="E66" s="42" t="str">
        <x:v>以parent/frame构建共享调用树。</x:v>
      </x:c>
      <x:c r="F66" s="42" t="str">
        <x:v>CallsiteInterner</x:v>
      </x:c>
      <x:c r="G66" s="42" t="str">
        <x:v>P0</x:v>
      </x:c>
      <x:c r="H66" s="42" t="str">
        <x:v>未分配</x:v>
      </x:c>
      <x:c r="I66" s="42" t="n">
        <x:v>8</x:v>
      </x:c>
      <x:c r="J66" s="42" t="n">
        <x:v>8</x:v>
      </x:c>
      <x:c r="K66" s="42" t="n">
        <x:v>1.25</x:v>
      </x:c>
      <x:c r="L66" s="42" t="str">
        <x:v>P4-006</x:v>
      </x:c>
      <x:c r="M66" s="42" t="str">
        <x:v>未开始</x:v>
      </x:c>
      <x:c r="N66" s="56" t="n">
        <x:v>0</x:v>
      </x:c>
      <x:c r="O66" s="42" t="str">
        <x:v>调用链关系正确且无重复节点</x:v>
      </x:c>
      <x:c r="P66" s="42" t="str">
        <x:v>递归/共享栈单测</x:v>
      </x:c>
      <x:c r="Q66" s="43" t="str"/>
    </x:row>
    <x:row r="67">
      <x:c r="A67" s="41" t="str">
        <x:v>P4-008</x:v>
      </x:c>
      <x:c r="B67" s="42" t="str">
        <x:v>P4 数据库与聚合</x:v>
      </x:c>
      <x:c r="C67" s="42" t="str">
        <x:v>索引</x:v>
      </x:c>
      <x:c r="D67" s="42" t="str">
        <x:v>建立核心索引</x:v>
      </x:c>
      <x:c r="E67" s="42" t="str">
        <x:v>覆盖session/time/thread/callsite/symbol查询。</x:v>
      </x:c>
      <x:c r="F67" s="42" t="str">
        <x:v>indexes.sql</x:v>
      </x:c>
      <x:c r="G67" s="42" t="str">
        <x:v>P0</x:v>
      </x:c>
      <x:c r="H67" s="42" t="str">
        <x:v>未分配</x:v>
      </x:c>
      <x:c r="I67" s="42" t="n">
        <x:v>9</x:v>
      </x:c>
      <x:c r="J67" s="42" t="n">
        <x:v>9</x:v>
      </x:c>
      <x:c r="K67" s="42" t="n">
        <x:v>0.75</x:v>
      </x:c>
      <x:c r="L67" s="42" t="str">
        <x:v>P4-005</x:v>
      </x:c>
      <x:c r="M67" s="42" t="str">
        <x:v>未开始</x:v>
      </x:c>
      <x:c r="N67" s="56" t="n">
        <x:v>0</x:v>
      </x:c>
      <x:c r="O67" s="42" t="str">
        <x:v>典型查询计划命中索引</x:v>
      </x:c>
      <x:c r="P67" s="42" t="str">
        <x:v>EXPLAIN验证</x:v>
      </x:c>
      <x:c r="Q67" s="43" t="str"/>
    </x:row>
    <x:row r="68">
      <x:c r="A68" s="41" t="str">
        <x:v>P4-009</x:v>
      </x:c>
      <x:c r="B68" s="42" t="str">
        <x:v>P4 数据库与聚合</x:v>
      </x:c>
      <x:c r="C68" s="42" t="str">
        <x:v>聚合</x:v>
      </x:c>
      <x:c r="D68" s="42" t="str">
        <x:v>实现线程聚合</x:v>
      </x:c>
      <x:c r="E68" s="42" t="str">
        <x:v>按进程/线程/事件聚合sample和event count。</x:v>
      </x:c>
      <x:c r="F68" s="42" t="str">
        <x:v>ThreadAggregateBuilder</x:v>
      </x:c>
      <x:c r="G68" s="42" t="str">
        <x:v>P0</x:v>
      </x:c>
      <x:c r="H68" s="42" t="str">
        <x:v>未分配</x:v>
      </x:c>
      <x:c r="I68" s="42" t="n">
        <x:v>9</x:v>
      </x:c>
      <x:c r="J68" s="42" t="n">
        <x:v>9</x:v>
      </x:c>
      <x:c r="K68" s="42" t="n">
        <x:v>1</x:v>
      </x:c>
      <x:c r="L68" s="42" t="str">
        <x:v>P4-007</x:v>
      </x:c>
      <x:c r="M68" s="42" t="str">
        <x:v>未开始</x:v>
      </x:c>
      <x:c r="N68" s="56" t="n">
        <x:v>0</x:v>
      </x:c>
      <x:c r="O68" s="42" t="str">
        <x:v>线程总权重与样本汇总一致</x:v>
      </x:c>
      <x:c r="P68" s="42" t="str">
        <x:v>SQL/内存双重校验</x:v>
      </x:c>
      <x:c r="Q68" s="43" t="str"/>
    </x:row>
    <x:row r="69">
      <x:c r="A69" s="41" t="str">
        <x:v>P4-010</x:v>
      </x:c>
      <x:c r="B69" s="42" t="str">
        <x:v>P4 数据库与聚合</x:v>
      </x:c>
      <x:c r="C69" s="42" t="str">
        <x:v>聚合</x:v>
      </x:c>
      <x:c r="D69" s="42" t="str">
        <x:v>实现函数Self/Inclusive聚合</x:v>
      </x:c>
      <x:c r="E69" s="42" t="str">
        <x:v>沿Callsite树累加Inclusive，叶节点累加Self。</x:v>
      </x:c>
      <x:c r="F69" s="42" t="str">
        <x:v>FunctionAggregateBuilder</x:v>
      </x:c>
      <x:c r="G69" s="42" t="str">
        <x:v>P0</x:v>
      </x:c>
      <x:c r="H69" s="42" t="str">
        <x:v>未分配</x:v>
      </x:c>
      <x:c r="I69" s="42" t="n">
        <x:v>9</x:v>
      </x:c>
      <x:c r="J69" s="42" t="n">
        <x:v>9</x:v>
      </x:c>
      <x:c r="K69" s="42" t="n">
        <x:v>1.5</x:v>
      </x:c>
      <x:c r="L69" s="42" t="str">
        <x:v>P4-007</x:v>
      </x:c>
      <x:c r="M69" s="42" t="str">
        <x:v>未开始</x:v>
      </x:c>
      <x:c r="N69" s="56" t="n">
        <x:v>0</x:v>
      </x:c>
      <x:c r="O69" s="42" t="str">
        <x:v>Self与Inclusive语义正确，多事件隔离</x:v>
      </x:c>
      <x:c r="P69" s="42" t="str">
        <x:v>Golden聚合测试</x:v>
      </x:c>
      <x:c r="Q69" s="43" t="str"/>
    </x:row>
    <x:row r="70">
      <x:c r="A70" s="41" t="str">
        <x:v>P4-011</x:v>
      </x:c>
      <x:c r="B70" s="42" t="str">
        <x:v>P4 数据库与聚合</x:v>
      </x:c>
      <x:c r="C70" s="42" t="str">
        <x:v>查询</x:v>
      </x:c>
      <x:c r="D70" s="42" t="str">
        <x:v>实现时间范围查询</x:v>
      </x:c>
      <x:c r="E70" s="42" t="str">
        <x:v>支持线程、事件、时间、库、执行类型过滤。</x:v>
      </x:c>
      <x:c r="F70" s="42" t="str">
        <x:v>ProfileQueryService</x:v>
      </x:c>
      <x:c r="G70" s="42" t="str">
        <x:v>P0</x:v>
      </x:c>
      <x:c r="H70" s="42" t="str">
        <x:v>未分配</x:v>
      </x:c>
      <x:c r="I70" s="42" t="n">
        <x:v>9</x:v>
      </x:c>
      <x:c r="J70" s="42" t="n">
        <x:v>9</x:v>
      </x:c>
      <x:c r="K70" s="42" t="n">
        <x:v>1</x:v>
      </x:c>
      <x:c r="L70" s="42" t="str">
        <x:v>P4-008</x:v>
      </x:c>
      <x:c r="M70" s="42" t="str">
        <x:v>未开始</x:v>
      </x:c>
      <x:c r="N70" s="56" t="n">
        <x:v>0</x:v>
      </x:c>
      <x:c r="O70" s="42" t="str">
        <x:v>过滤结果可重复且查询时间达标</x:v>
      </x:c>
      <x:c r="P70" s="42" t="str">
        <x:v>Benchmark</x:v>
      </x:c>
      <x:c r="Q70" s="43" t="str"/>
    </x:row>
    <x:row r="71">
      <x:c r="A71" s="41" t="str">
        <x:v>P4-012</x:v>
      </x:c>
      <x:c r="B71" s="42" t="str">
        <x:v>P4 数据库与聚合</x:v>
      </x:c>
      <x:c r="C71" s="42" t="str">
        <x:v>会话</x:v>
      </x:c>
      <x:c r="D71" s="42" t="str">
        <x:v>实现Session重新打开</x:v>
      </x:c>
      <x:c r="E71" s="42" t="str">
        <x:v>读取metadata和数据库，检测文件完整性。</x:v>
      </x:c>
      <x:c r="F71" s="42" t="str">
        <x:v>SessionOpenUseCase</x:v>
      </x:c>
      <x:c r="G71" s="42" t="str">
        <x:v>P0</x:v>
      </x:c>
      <x:c r="H71" s="42" t="str">
        <x:v>未分配</x:v>
      </x:c>
      <x:c r="I71" s="42" t="n">
        <x:v>9</x:v>
      </x:c>
      <x:c r="J71" s="42" t="n">
        <x:v>9</x:v>
      </x:c>
      <x:c r="K71" s="42" t="n">
        <x:v>0.75</x:v>
      </x:c>
      <x:c r="L71" s="42" t="str">
        <x:v>P1-011,P4-002</x:v>
      </x:c>
      <x:c r="M71" s="42" t="str">
        <x:v>未开始</x:v>
      </x:c>
      <x:c r="N71" s="56" t="n">
        <x:v>0</x:v>
      </x:c>
      <x:c r="O71" s="42" t="str">
        <x:v>关闭应用后可恢复查看报告</x:v>
      </x:c>
      <x:c r="P71" s="42" t="str">
        <x:v>E2E测试</x:v>
      </x:c>
      <x:c r="Q71" s="43" t="str"/>
    </x:row>
    <x:row r="72">
      <x:c r="A72" s="41" t="str">
        <x:v>P4-013</x:v>
      </x:c>
      <x:c r="B72" s="42" t="str">
        <x:v>P4 数据库与聚合</x:v>
      </x:c>
      <x:c r="C72" s="42" t="str">
        <x:v>性能</x:v>
      </x:c>
      <x:c r="D72" s="42" t="str">
        <x:v>建立导入性能基准</x:v>
      </x:c>
      <x:c r="E72" s="42" t="str">
        <x:v>覆盖10万/100万样本、不同栈深。</x:v>
      </x:c>
      <x:c r="F72" s="42" t="str">
        <x:v>ImportBenchmark</x:v>
      </x:c>
      <x:c r="G72" s="42" t="str">
        <x:v>P1</x:v>
      </x:c>
      <x:c r="H72" s="42" t="str">
        <x:v>未分配</x:v>
      </x:c>
      <x:c r="I72" s="42" t="n">
        <x:v>9</x:v>
      </x:c>
      <x:c r="J72" s="42" t="n">
        <x:v>9</x:v>
      </x:c>
      <x:c r="K72" s="42" t="n">
        <x:v>1</x:v>
      </x:c>
      <x:c r="L72" s="42" t="str">
        <x:v>P4-010</x:v>
      </x:c>
      <x:c r="M72" s="42" t="str">
        <x:v>未开始</x:v>
      </x:c>
      <x:c r="N72" s="56" t="n">
        <x:v>0</x:v>
      </x:c>
      <x:c r="O72" s="42" t="str">
        <x:v>输出耗时、吞吐、峰值内存基线</x:v>
      </x:c>
      <x:c r="P72" s="42" t="str">
        <x:v>CI可选性能任务</x:v>
      </x:c>
      <x:c r="Q72" s="43" t="str"/>
    </x:row>
    <x:row r="73">
      <x:c r="A73" s="41" t="str">
        <x:v>P5-001</x:v>
      </x:c>
      <x:c r="B73" s="42" t="str">
        <x:v>P5 可视化</x:v>
      </x:c>
      <x:c r="C73" s="42" t="str">
        <x:v>UI框架</x:v>
      </x:c>
      <x:c r="D73" s="42" t="str">
        <x:v>实现完整页面导航和布局</x:v>
      </x:c>
      <x:c r="E73" s="42" t="str">
        <x:v>左侧导航、顶部Session信息、主内容区。</x:v>
      </x:c>
      <x:c r="F73" s="42" t="str">
        <x:v>主界面</x:v>
      </x:c>
      <x:c r="G73" s="42" t="str">
        <x:v>P0</x:v>
      </x:c>
      <x:c r="H73" s="42" t="str">
        <x:v>未分配</x:v>
      </x:c>
      <x:c r="I73" s="42" t="n">
        <x:v>10</x:v>
      </x:c>
      <x:c r="J73" s="42" t="n">
        <x:v>10</x:v>
      </x:c>
      <x:c r="K73" s="42" t="n">
        <x:v>1</x:v>
      </x:c>
      <x:c r="L73" s="42" t="str">
        <x:v>P1-010,P4-012</x:v>
      </x:c>
      <x:c r="M73" s="42" t="str">
        <x:v>未开始</x:v>
      </x:c>
      <x:c r="N73" s="56" t="n">
        <x:v>0</x:v>
      </x:c>
      <x:c r="O73" s="42" t="str">
        <x:v>页面切换不重复加载大数据</x:v>
      </x:c>
      <x:c r="P73" s="42" t="str">
        <x:v>UI测试</x:v>
      </x:c>
      <x:c r="Q73" s="43" t="str"/>
    </x:row>
    <x:row r="74">
      <x:c r="A74" s="41" t="str">
        <x:v>P5-002</x:v>
      </x:c>
      <x:c r="B74" s="42" t="str">
        <x:v>P5 可视化</x:v>
      </x:c>
      <x:c r="C74" s="42" t="str">
        <x:v>Sessions</x:v>
      </x:c>
      <x:c r="D74" s="42" t="str">
        <x:v>实现Session列表</x:v>
      </x:c>
      <x:c r="E74" s="42" t="str">
        <x:v>显示名称、设备、时间、状态、大小和标签。</x:v>
      </x:c>
      <x:c r="F74" s="42" t="str">
        <x:v>SessionsScreen</x:v>
      </x:c>
      <x:c r="G74" s="42" t="str">
        <x:v>P0</x:v>
      </x:c>
      <x:c r="H74" s="42" t="str">
        <x:v>未分配</x:v>
      </x:c>
      <x:c r="I74" s="42" t="n">
        <x:v>10</x:v>
      </x:c>
      <x:c r="J74" s="42" t="n">
        <x:v>10</x:v>
      </x:c>
      <x:c r="K74" s="42" t="n">
        <x:v>1</x:v>
      </x:c>
      <x:c r="L74" s="42" t="str">
        <x:v>P5-001</x:v>
      </x:c>
      <x:c r="M74" s="42" t="str">
        <x:v>未开始</x:v>
      </x:c>
      <x:c r="N74" s="56" t="n">
        <x:v>0</x:v>
      </x:c>
      <x:c r="O74" s="42" t="str">
        <x:v>可打开、重命名、删除和定位目录</x:v>
      </x:c>
      <x:c r="P74" s="42" t="str">
        <x:v>操作测试</x:v>
      </x:c>
      <x:c r="Q74" s="43" t="str"/>
    </x:row>
    <x:row r="75">
      <x:c r="A75" s="41" t="str">
        <x:v>P5-003</x:v>
      </x:c>
      <x:c r="B75" s="42" t="str">
        <x:v>P5 可视化</x:v>
      </x:c>
      <x:c r="C75" s="42" t="str">
        <x:v>Device</x:v>
      </x:c>
      <x:c r="D75" s="42" t="str">
        <x:v>实现设备与目标选择页</x:v>
      </x:c>
      <x:c r="E75" s="42" t="str">
        <x:v>设备能力矩阵、进程/线程/包搜索。</x:v>
      </x:c>
      <x:c r="F75" s="42" t="str">
        <x:v>DeviceScreen</x:v>
      </x:c>
      <x:c r="G75" s="42" t="str">
        <x:v>P0</x:v>
      </x:c>
      <x:c r="H75" s="42" t="str">
        <x:v>未分配</x:v>
      </x:c>
      <x:c r="I75" s="42" t="n">
        <x:v>10</x:v>
      </x:c>
      <x:c r="J75" s="42" t="n">
        <x:v>10</x:v>
      </x:c>
      <x:c r="K75" s="42" t="n">
        <x:v>1.25</x:v>
      </x:c>
      <x:c r="L75" s="42" t="str">
        <x:v>P2-008,P5-001</x:v>
      </x:c>
      <x:c r="M75" s="42" t="str">
        <x:v>未开始</x:v>
      </x:c>
      <x:c r="N75" s="56" t="n">
        <x:v>0</x:v>
      </x:c>
      <x:c r="O75" s="42" t="str">
        <x:v>选择结果可直接进入采集配置</x:v>
      </x:c>
      <x:c r="P75" s="42" t="str">
        <x:v>UI集成测试</x:v>
      </x:c>
      <x:c r="Q75" s="43" t="str"/>
    </x:row>
    <x:row r="76">
      <x:c r="A76" s="41" t="str">
        <x:v>P5-004</x:v>
      </x:c>
      <x:c r="B76" s="42" t="str">
        <x:v>P5 可视化</x:v>
      </x:c>
      <x:c r="C76" s="42" t="str">
        <x:v>Capture</x:v>
      </x:c>
      <x:c r="D76" s="42" t="str">
        <x:v>实现采集配置页</x:v>
      </x:c>
      <x:c r="E76" s="42" t="str">
        <x:v>事件、频率、时长、调用栈、模板、CPU集合。</x:v>
      </x:c>
      <x:c r="F76" s="42" t="str">
        <x:v>CaptureConfigScreen</x:v>
      </x:c>
      <x:c r="G76" s="42" t="str">
        <x:v>P0</x:v>
      </x:c>
      <x:c r="H76" s="42" t="str">
        <x:v>未分配</x:v>
      </x:c>
      <x:c r="I76" s="42" t="n">
        <x:v>10</x:v>
      </x:c>
      <x:c r="J76" s="42" t="n">
        <x:v>10</x:v>
      </x:c>
      <x:c r="K76" s="42" t="n">
        <x:v>1.25</x:v>
      </x:c>
      <x:c r="L76" s="42" t="str">
        <x:v>P2-010,P5-001</x:v>
      </x:c>
      <x:c r="M76" s="42" t="str">
        <x:v>未开始</x:v>
      </x:c>
      <x:c r="N76" s="56" t="n">
        <x:v>0</x:v>
      </x:c>
      <x:c r="O76" s="42" t="str">
        <x:v>表单校验与命令预览一致</x:v>
      </x:c>
      <x:c r="P76" s="42" t="str">
        <x:v>UI表单测试</x:v>
      </x:c>
      <x:c r="Q76" s="43" t="str"/>
    </x:row>
    <x:row r="77">
      <x:c r="A77" s="41" t="str">
        <x:v>P5-005</x:v>
      </x:c>
      <x:c r="B77" s="42" t="str">
        <x:v>P5 可视化</x:v>
      </x:c>
      <x:c r="C77" s="42" t="str">
        <x:v>Overview</x:v>
      </x:c>
      <x:c r="D77" s="42" t="str">
        <x:v>实现概览KPI</x:v>
      </x:c>
      <x:c r="E77" s="42" t="str">
        <x:v>展示样本、线程、事件、Lost、Unknown、完整率。</x:v>
      </x:c>
      <x:c r="F77" s="42" t="str">
        <x:v>OverviewScreen</x:v>
      </x:c>
      <x:c r="G77" s="42" t="str">
        <x:v>P0</x:v>
      </x:c>
      <x:c r="H77" s="42" t="str">
        <x:v>未分配</x:v>
      </x:c>
      <x:c r="I77" s="42" t="n">
        <x:v>10</x:v>
      </x:c>
      <x:c r="J77" s="42" t="n">
        <x:v>10</x:v>
      </x:c>
      <x:c r="K77" s="42" t="n">
        <x:v>1.25</x:v>
      </x:c>
      <x:c r="L77" s="42" t="str">
        <x:v>P4-009,P4-010</x:v>
      </x:c>
      <x:c r="M77" s="42" t="str">
        <x:v>未开始</x:v>
      </x:c>
      <x:c r="N77" s="56" t="n">
        <x:v>0</x:v>
      </x:c>
      <x:c r="O77" s="42" t="str">
        <x:v>KPI与数据库查询一致</x:v>
      </x:c>
      <x:c r="P77" s="42" t="str">
        <x:v>Golden Session对比</x:v>
      </x:c>
      <x:c r="Q77" s="43" t="str"/>
    </x:row>
    <x:row r="78">
      <x:c r="A78" s="41" t="str">
        <x:v>P5-006</x:v>
      </x:c>
      <x:c r="B78" s="42" t="str">
        <x:v>P5 可视化</x:v>
      </x:c>
      <x:c r="C78" s="42" t="str">
        <x:v>Threads</x:v>
      </x:c>
      <x:c r="D78" s="42" t="str">
        <x:v>实现线程列表与排序</x:v>
      </x:c>
      <x:c r="E78" s="42" t="str">
        <x:v>展示PID/TID、Sample、Weight、比例、热点标记。</x:v>
      </x:c>
      <x:c r="F78" s="42" t="str">
        <x:v>ThreadsScreen</x:v>
      </x:c>
      <x:c r="G78" s="42" t="str">
        <x:v>P0</x:v>
      </x:c>
      <x:c r="H78" s="42" t="str">
        <x:v>未分配</x:v>
      </x:c>
      <x:c r="I78" s="42" t="n">
        <x:v>10</x:v>
      </x:c>
      <x:c r="J78" s="42" t="n">
        <x:v>10</x:v>
      </x:c>
      <x:c r="K78" s="42" t="n">
        <x:v>1</x:v>
      </x:c>
      <x:c r="L78" s="42" t="str">
        <x:v>P4-009</x:v>
      </x:c>
      <x:c r="M78" s="42" t="str">
        <x:v>未开始</x:v>
      </x:c>
      <x:c r="N78" s="56" t="n">
        <x:v>0</x:v>
      </x:c>
      <x:c r="O78" s="42" t="str">
        <x:v>支持排序、搜索、跳转FlameGraph</x:v>
      </x:c>
      <x:c r="P78" s="42" t="str">
        <x:v>UI/查询测试</x:v>
      </x:c>
      <x:c r="Q78" s="43" t="str"/>
    </x:row>
    <x:row r="79">
      <x:c r="A79" s="41" t="str">
        <x:v>P5-007</x:v>
      </x:c>
      <x:c r="B79" s="42" t="str">
        <x:v>P5 可视化</x:v>
      </x:c>
      <x:c r="C79" s="42" t="str">
        <x:v>Functions</x:v>
      </x:c>
      <x:c r="D79" s="42" t="str">
        <x:v>实现Top Functions表</x:v>
      </x:c>
      <x:c r="E79" s="42" t="str">
        <x:v>支持Self/Inclusive、线程、事件和库过滤。</x:v>
      </x:c>
      <x:c r="F79" s="42" t="str">
        <x:v>TopFunctionsScreen</x:v>
      </x:c>
      <x:c r="G79" s="42" t="str">
        <x:v>P0</x:v>
      </x:c>
      <x:c r="H79" s="42" t="str">
        <x:v>未分配</x:v>
      </x:c>
      <x:c r="I79" s="42" t="n">
        <x:v>10</x:v>
      </x:c>
      <x:c r="J79" s="42" t="n">
        <x:v>10</x:v>
      </x:c>
      <x:c r="K79" s="42" t="n">
        <x:v>1.25</x:v>
      </x:c>
      <x:c r="L79" s="42" t="str">
        <x:v>P4-010,P4-011</x:v>
      </x:c>
      <x:c r="M79" s="42" t="str">
        <x:v>未开始</x:v>
      </x:c>
      <x:c r="N79" s="56" t="n">
        <x:v>0</x:v>
      </x:c>
      <x:c r="O79" s="42" t="str">
        <x:v>权重和占比语义明确</x:v>
      </x:c>
      <x:c r="P79" s="42" t="str">
        <x:v>结果对照测试</x:v>
      </x:c>
      <x:c r="Q79" s="43" t="str"/>
    </x:row>
    <x:row r="80">
      <x:c r="A80" s="41" t="str">
        <x:v>P5-008</x:v>
      </x:c>
      <x:c r="B80" s="42" t="str">
        <x:v>P5 可视化</x:v>
      </x:c>
      <x:c r="C80" s="42" t="str">
        <x:v>CallTree</x:v>
      </x:c>
      <x:c r="D80" s="42" t="str">
        <x:v>实现Top-down调用树</x:v>
      </x:c>
      <x:c r="E80" s="42" t="str">
        <x:v>懒加载节点，支持展开和排序。</x:v>
      </x:c>
      <x:c r="F80" s="42" t="str">
        <x:v>TopDownCallTree</x:v>
      </x:c>
      <x:c r="G80" s="42" t="str">
        <x:v>P0</x:v>
      </x:c>
      <x:c r="H80" s="42" t="str">
        <x:v>未分配</x:v>
      </x:c>
      <x:c r="I80" s="42" t="n">
        <x:v>11</x:v>
      </x:c>
      <x:c r="J80" s="42" t="n">
        <x:v>11</x:v>
      </x:c>
      <x:c r="K80" s="42" t="n">
        <x:v>1.5</x:v>
      </x:c>
      <x:c r="L80" s="42" t="str">
        <x:v>P4-010,P4-011</x:v>
      </x:c>
      <x:c r="M80" s="42" t="str">
        <x:v>未开始</x:v>
      </x:c>
      <x:c r="N80" s="56" t="n">
        <x:v>0</x:v>
      </x:c>
      <x:c r="O80" s="42" t="str">
        <x:v>大调用树展开不卡顿</x:v>
      </x:c>
      <x:c r="P80" s="42" t="str">
        <x:v>性能测试</x:v>
      </x:c>
      <x:c r="Q80" s="43" t="str"/>
    </x:row>
    <x:row r="81">
      <x:c r="A81" s="41" t="str">
        <x:v>P5-009</x:v>
      </x:c>
      <x:c r="B81" s="42" t="str">
        <x:v>P5 可视化</x:v>
      </x:c>
      <x:c r="C81" s="42" t="str">
        <x:v>CallTree</x:v>
      </x:c>
      <x:c r="D81" s="42" t="str">
        <x:v>实现Bottom-up调用树</x:v>
      </x:c>
      <x:c r="E81" s="42" t="str">
        <x:v>从热点函数回溯Caller。</x:v>
      </x:c>
      <x:c r="F81" s="42" t="str">
        <x:v>BottomUpCallTree</x:v>
      </x:c>
      <x:c r="G81" s="42" t="str">
        <x:v>P1</x:v>
      </x:c>
      <x:c r="H81" s="42" t="str">
        <x:v>未分配</x:v>
      </x:c>
      <x:c r="I81" s="42" t="n">
        <x:v>11</x:v>
      </x:c>
      <x:c r="J81" s="42" t="n">
        <x:v>11</x:v>
      </x:c>
      <x:c r="K81" s="42" t="n">
        <x:v>1.25</x:v>
      </x:c>
      <x:c r="L81" s="42" t="str">
        <x:v>P5-008</x:v>
      </x:c>
      <x:c r="M81" s="42" t="str">
        <x:v>未开始</x:v>
      </x:c>
      <x:c r="N81" s="56" t="n">
        <x:v>0</x:v>
      </x:c>
      <x:c r="O81" s="42" t="str">
        <x:v>调用者权重聚合正确</x:v>
      </x:c>
      <x:c r="P81" s="42" t="str">
        <x:v>Golden测试</x:v>
      </x:c>
      <x:c r="Q81" s="43" t="str"/>
    </x:row>
    <x:row r="82">
      <x:c r="A82" s="41" t="str">
        <x:v>P5-010</x:v>
      </x:c>
      <x:c r="B82" s="42" t="str">
        <x:v>P5 可视化</x:v>
      </x:c>
      <x:c r="C82" s="42" t="str">
        <x:v>FlameGraph</x:v>
      </x:c>
      <x:c r="D82" s="42" t="str">
        <x:v>实现FlameGraph聚合模型</x:v>
      </x:c>
      <x:c r="E82" s="42" t="str">
        <x:v>构建FlameNode并支持过滤和反向模式。</x:v>
      </x:c>
      <x:c r="F82" s="42" t="str">
        <x:v>FlameGraphModel</x:v>
      </x:c>
      <x:c r="G82" s="42" t="str">
        <x:v>P0</x:v>
      </x:c>
      <x:c r="H82" s="42" t="str">
        <x:v>未分配</x:v>
      </x:c>
      <x:c r="I82" s="42" t="n">
        <x:v>11</x:v>
      </x:c>
      <x:c r="J82" s="42" t="n">
        <x:v>11</x:v>
      </x:c>
      <x:c r="K82" s="42" t="n">
        <x:v>1.5</x:v>
      </x:c>
      <x:c r="L82" s="42" t="str">
        <x:v>P4-010,P4-011</x:v>
      </x:c>
      <x:c r="M82" s="42" t="str">
        <x:v>未开始</x:v>
      </x:c>
      <x:c r="N82" s="56" t="n">
        <x:v>0</x:v>
      </x:c>
      <x:c r="O82" s="42" t="str">
        <x:v>节点总权重和函数聚合一致</x:v>
      </x:c>
      <x:c r="P82" s="42" t="str">
        <x:v>聚合测试</x:v>
      </x:c>
      <x:c r="Q82" s="43" t="str"/>
    </x:row>
    <x:row r="83">
      <x:c r="A83" s="41" t="str">
        <x:v>P5-011</x:v>
      </x:c>
      <x:c r="B83" s="42" t="str">
        <x:v>P5 可视化</x:v>
      </x:c>
      <x:c r="C83" s="42" t="str">
        <x:v>FlameGraph</x:v>
      </x:c>
      <x:c r="D83" s="42" t="str">
        <x:v>实现Canvas渲染器</x:v>
      </x:c>
      <x:c r="E83" s="42" t="str">
        <x:v>计算矩形、可视区域、文本裁剪和hit-test。</x:v>
      </x:c>
      <x:c r="F83" s="42" t="str">
        <x:v>FlameGraphCanvas</x:v>
      </x:c>
      <x:c r="G83" s="42" t="str">
        <x:v>P0</x:v>
      </x:c>
      <x:c r="H83" s="42" t="str">
        <x:v>未分配</x:v>
      </x:c>
      <x:c r="I83" s="42" t="n">
        <x:v>11</x:v>
      </x:c>
      <x:c r="J83" s="42" t="n">
        <x:v>11</x:v>
      </x:c>
      <x:c r="K83" s="42" t="n">
        <x:v>2</x:v>
      </x:c>
      <x:c r="L83" s="42" t="str">
        <x:v>P5-010</x:v>
      </x:c>
      <x:c r="M83" s="42" t="str">
        <x:v>未开始</x:v>
      </x:c>
      <x:c r="N83" s="56" t="n">
        <x:v>0</x:v>
      </x:c>
      <x:c r="O83" s="42" t="str">
        <x:v>10万节点下可交互，非逐节点Compose组件</x:v>
      </x:c>
      <x:c r="P83" s="42" t="str">
        <x:v>性能基准</x:v>
      </x:c>
      <x:c r="Q83" s="43" t="str"/>
    </x:row>
    <x:row r="84">
      <x:c r="A84" s="41" t="str">
        <x:v>P5-012</x:v>
      </x:c>
      <x:c r="B84" s="42" t="str">
        <x:v>P5 可视化</x:v>
      </x:c>
      <x:c r="C84" s="42" t="str">
        <x:v>FlameGraph</x:v>
      </x:c>
      <x:c r="D84" s="42" t="str">
        <x:v>实现缩放与平移</x:v>
      </x:c>
      <x:c r="E84" s="42" t="str">
        <x:v>鼠标滚轮、拖动、双击下钻、返回父级。</x:v>
      </x:c>
      <x:c r="F84" s="42" t="str">
        <x:v>FlameGraphInteraction</x:v>
      </x:c>
      <x:c r="G84" s="42" t="str">
        <x:v>P0</x:v>
      </x:c>
      <x:c r="H84" s="42" t="str">
        <x:v>未分配</x:v>
      </x:c>
      <x:c r="I84" s="42" t="n">
        <x:v>11</x:v>
      </x:c>
      <x:c r="J84" s="42" t="n">
        <x:v>11</x:v>
      </x:c>
      <x:c r="K84" s="42" t="n">
        <x:v>1</x:v>
      </x:c>
      <x:c r="L84" s="42" t="str">
        <x:v>P5-011</x:v>
      </x:c>
      <x:c r="M84" s="42" t="str">
        <x:v>未开始</x:v>
      </x:c>
      <x:c r="N84" s="56" t="n">
        <x:v>0</x:v>
      </x:c>
      <x:c r="O84" s="42" t="str">
        <x:v>交互无明显跳变且可复位</x:v>
      </x:c>
      <x:c r="P84" s="42" t="str">
        <x:v>UI交互测试</x:v>
      </x:c>
      <x:c r="Q84" s="43" t="str"/>
    </x:row>
    <x:row r="85">
      <x:c r="A85" s="41" t="str">
        <x:v>P5-013</x:v>
      </x:c>
      <x:c r="B85" s="42" t="str">
        <x:v>P5 可视化</x:v>
      </x:c>
      <x:c r="C85" s="42" t="str">
        <x:v>FlameGraph</x:v>
      </x:c>
      <x:c r="D85" s="42" t="str">
        <x:v>实现搜索与高亮</x:v>
      </x:c>
      <x:c r="E85" s="42" t="str">
        <x:v>函数搜索、命中计数、循环定位。</x:v>
      </x:c>
      <x:c r="F85" s="42" t="str">
        <x:v>FlameGraphSearch</x:v>
      </x:c>
      <x:c r="G85" s="42" t="str">
        <x:v>P1</x:v>
      </x:c>
      <x:c r="H85" s="42" t="str">
        <x:v>未分配</x:v>
      </x:c>
      <x:c r="I85" s="42" t="n">
        <x:v>11</x:v>
      </x:c>
      <x:c r="J85" s="42" t="n">
        <x:v>11</x:v>
      </x:c>
      <x:c r="K85" s="42" t="n">
        <x:v>0.75</x:v>
      </x:c>
      <x:c r="L85" s="42" t="str">
        <x:v>P5-011</x:v>
      </x:c>
      <x:c r="M85" s="42" t="str">
        <x:v>未开始</x:v>
      </x:c>
      <x:c r="N85" s="56" t="n">
        <x:v>0</x:v>
      </x:c>
      <x:c r="O85" s="42" t="str">
        <x:v>模糊/精确搜索结果正确</x:v>
      </x:c>
      <x:c r="P85" s="42" t="str">
        <x:v>搜索测试</x:v>
      </x:c>
      <x:c r="Q85" s="43" t="str"/>
    </x:row>
    <x:row r="86">
      <x:c r="A86" s="41" t="str">
        <x:v>P5-014</x:v>
      </x:c>
      <x:c r="B86" s="42" t="str">
        <x:v>P5 可视化</x:v>
      </x:c>
      <x:c r="C86" s="42" t="str">
        <x:v>过滤器</x:v>
      </x:c>
      <x:c r="D86" s="42" t="str">
        <x:v>实现统一Profile过滤器</x:v>
      </x:c>
      <x:c r="E86" s="42" t="str">
        <x:v>线程、进程、事件、时间、DSO、执行类型、Unknown。</x:v>
      </x:c>
      <x:c r="F86" s="42" t="str">
        <x:v>ProfileFilterBar</x:v>
      </x:c>
      <x:c r="G86" s="42" t="str">
        <x:v>P0</x:v>
      </x:c>
      <x:c r="H86" s="42" t="str">
        <x:v>未分配</x:v>
      </x:c>
      <x:c r="I86" s="42" t="n">
        <x:v>12</x:v>
      </x:c>
      <x:c r="J86" s="42" t="n">
        <x:v>12</x:v>
      </x:c>
      <x:c r="K86" s="42" t="n">
        <x:v>1.25</x:v>
      </x:c>
      <x:c r="L86" s="42" t="str">
        <x:v>P4-011,P5-007,P5-010</x:v>
      </x:c>
      <x:c r="M86" s="42" t="str">
        <x:v>未开始</x:v>
      </x:c>
      <x:c r="N86" s="56" t="n">
        <x:v>0</x:v>
      </x:c>
      <x:c r="O86" s="42" t="str">
        <x:v>各页面使用同一过滤状态</x:v>
      </x:c>
      <x:c r="P86" s="42" t="str">
        <x:v>跨页面测试</x:v>
      </x:c>
      <x:c r="Q86" s="43" t="str"/>
    </x:row>
    <x:row r="87">
      <x:c r="A87" s="41" t="str">
        <x:v>P5-015</x:v>
      </x:c>
      <x:c r="B87" s="42" t="str">
        <x:v>P5 可视化</x:v>
      </x:c>
      <x:c r="C87" s="42" t="str">
        <x:v>Timeline</x:v>
      </x:c>
      <x:c r="D87" s="42" t="str">
        <x:v>实现样本时间线基础版</x:v>
      </x:c>
      <x:c r="E87" s="42" t="str">
        <x:v>按线程绘制Sample点和ContextSwitch标记。</x:v>
      </x:c>
      <x:c r="F87" s="42" t="str">
        <x:v>TimelineScreen</x:v>
      </x:c>
      <x:c r="G87" s="42" t="str">
        <x:v>P1</x:v>
      </x:c>
      <x:c r="H87" s="42" t="str">
        <x:v>未分配</x:v>
      </x:c>
      <x:c r="I87" s="42" t="n">
        <x:v>12</x:v>
      </x:c>
      <x:c r="J87" s="42" t="n">
        <x:v>12</x:v>
      </x:c>
      <x:c r="K87" s="42" t="n">
        <x:v>2</x:v>
      </x:c>
      <x:c r="L87" s="42" t="str">
        <x:v>P3-013,P4-011</x:v>
      </x:c>
      <x:c r="M87" s="42" t="str">
        <x:v>未开始</x:v>
      </x:c>
      <x:c r="N87" s="56" t="n">
        <x:v>0</x:v>
      </x:c>
      <x:c r="O87" s="42" t="str">
        <x:v>可选择时间范围并联动其他视图</x:v>
      </x:c>
      <x:c r="P87" s="42" t="str">
        <x:v>大数据性能测试</x:v>
      </x:c>
      <x:c r="Q87" s="43" t="str"/>
    </x:row>
    <x:row r="88">
      <x:c r="A88" s="41" t="str">
        <x:v>P5-016</x:v>
      </x:c>
      <x:c r="B88" s="42" t="str">
        <x:v>P5 可视化</x:v>
      </x:c>
      <x:c r="C88" s="42" t="str">
        <x:v>Symbols</x:v>
      </x:c>
      <x:c r="D88" s="42" t="str">
        <x:v>实现文件与符号页</x:v>
      </x:c>
      <x:c r="E88" s="42" t="str">
        <x:v>展示DSO、符号数量、Unknown比例、输入目录。</x:v>
      </x:c>
      <x:c r="F88" s="42" t="str">
        <x:v>SymbolsScreen</x:v>
      </x:c>
      <x:c r="G88" s="42" t="str">
        <x:v>P1</x:v>
      </x:c>
      <x:c r="H88" s="42" t="str">
        <x:v>未分配</x:v>
      </x:c>
      <x:c r="I88" s="42" t="n">
        <x:v>12</x:v>
      </x:c>
      <x:c r="J88" s="42" t="n">
        <x:v>12</x:v>
      </x:c>
      <x:c r="K88" s="42" t="n">
        <x:v>1</x:v>
      </x:c>
      <x:c r="L88" s="42" t="str">
        <x:v>P3-009,P3-003</x:v>
      </x:c>
      <x:c r="M88" s="42" t="str">
        <x:v>未开始</x:v>
      </x:c>
      <x:c r="N88" s="56" t="n">
        <x:v>0</x:v>
      </x:c>
      <x:c r="O88" s="42" t="str">
        <x:v>可定位主要Unknown来源</x:v>
      </x:c>
      <x:c r="P88" s="42" t="str">
        <x:v>结果验证</x:v>
      </x:c>
      <x:c r="Q88" s="43" t="str"/>
    </x:row>
    <x:row r="89">
      <x:c r="A89" s="41" t="str">
        <x:v>P5-017</x:v>
      </x:c>
      <x:c r="B89" s="42" t="str">
        <x:v>P5 可视化</x:v>
      </x:c>
      <x:c r="C89" s="42" t="str">
        <x:v>Diagnostics</x:v>
      </x:c>
      <x:c r="D89" s="42" t="str">
        <x:v>实现诊断页框架</x:v>
      </x:c>
      <x:c r="E89" s="42" t="str">
        <x:v>显示问题、严重级别、置信度、证据和限制。</x:v>
      </x:c>
      <x:c r="F89" s="42" t="str">
        <x:v>DiagnosticsScreen</x:v>
      </x:c>
      <x:c r="G89" s="42" t="str">
        <x:v>P1</x:v>
      </x:c>
      <x:c r="H89" s="42" t="str">
        <x:v>未分配</x:v>
      </x:c>
      <x:c r="I89" s="42" t="n">
        <x:v>12</x:v>
      </x:c>
      <x:c r="J89" s="42" t="n">
        <x:v>12</x:v>
      </x:c>
      <x:c r="K89" s="42" t="n">
        <x:v>1</x:v>
      </x:c>
      <x:c r="L89" s="42" t="str">
        <x:v>P5-001</x:v>
      </x:c>
      <x:c r="M89" s="42" t="str">
        <x:v>未开始</x:v>
      </x:c>
      <x:c r="N89" s="56" t="n">
        <x:v>0</x:v>
      </x:c>
      <x:c r="O89" s="42" t="str">
        <x:v>分析引擎未完成时可展示占位和数据质量</x:v>
      </x:c>
      <x:c r="P89" s="42" t="str">
        <x:v>UI测试</x:v>
      </x:c>
      <x:c r="Q89" s="43" t="str"/>
    </x:row>
    <x:row r="90">
      <x:c r="A90" s="41" t="str">
        <x:v>P5-018</x:v>
      </x:c>
      <x:c r="B90" s="42" t="str">
        <x:v>P5 可视化</x:v>
      </x:c>
      <x:c r="C90" s="42" t="str">
        <x:v>导入</x:v>
      </x:c>
      <x:c r="D90" s="42" t="str">
        <x:v>实现离线perf.data导入</x:v>
      </x:c>
      <x:c r="E90" s="42" t="str">
        <x:v>选择perf.data、符号和mapping后创建Session。</x:v>
      </x:c>
      <x:c r="F90" s="42" t="str">
        <x:v>ImportWizard</x:v>
      </x:c>
      <x:c r="G90" s="42" t="str">
        <x:v>P0</x:v>
      </x:c>
      <x:c r="H90" s="42" t="str">
        <x:v>未分配</x:v>
      </x:c>
      <x:c r="I90" s="42" t="n">
        <x:v>12</x:v>
      </x:c>
      <x:c r="J90" s="42" t="n">
        <x:v>12</x:v>
      </x:c>
      <x:c r="K90" s="42" t="n">
        <x:v>1.25</x:v>
      </x:c>
      <x:c r="L90" s="42" t="str">
        <x:v>P3-002,P4-012</x:v>
      </x:c>
      <x:c r="M90" s="42" t="str">
        <x:v>未开始</x:v>
      </x:c>
      <x:c r="N90" s="56" t="n">
        <x:v>0</x:v>
      </x:c>
      <x:c r="O90" s="42" t="str">
        <x:v>不连接设备也可完整生成报告</x:v>
      </x:c>
      <x:c r="P90" s="42" t="str">
        <x:v>E2E导入测试</x:v>
      </x:c>
      <x:c r="Q90" s="43" t="str"/>
    </x:row>
    <x:row r="91">
      <x:c r="A91" s="41" t="str">
        <x:v>P5-019</x:v>
      </x:c>
      <x:c r="B91" s="42" t="str">
        <x:v>P5 可视化</x:v>
      </x:c>
      <x:c r="C91" s="42" t="str">
        <x:v>导出</x:v>
      </x:c>
      <x:c r="D91" s="42" t="str">
        <x:v>实现CSV/JSON基础导出</x:v>
      </x:c>
      <x:c r="E91" s="42" t="str">
        <x:v>导出线程、函数、诊断摘要。</x:v>
      </x:c>
      <x:c r="F91" s="42" t="str">
        <x:v>BasicExporter</x:v>
      </x:c>
      <x:c r="G91" s="42" t="str">
        <x:v>P1</x:v>
      </x:c>
      <x:c r="H91" s="42" t="str">
        <x:v>未分配</x:v>
      </x:c>
      <x:c r="I91" s="42" t="n">
        <x:v>12</x:v>
      </x:c>
      <x:c r="J91" s="42" t="n">
        <x:v>12</x:v>
      </x:c>
      <x:c r="K91" s="42" t="n">
        <x:v>1</x:v>
      </x:c>
      <x:c r="L91" s="42" t="str">
        <x:v>P5-006,P5-007</x:v>
      </x:c>
      <x:c r="M91" s="42" t="str">
        <x:v>未开始</x:v>
      </x:c>
      <x:c r="N91" s="56" t="n">
        <x:v>0</x:v>
      </x:c>
      <x:c r="O91" s="42" t="str">
        <x:v>导出字段和筛选范围可追踪</x:v>
      </x:c>
      <x:c r="P91" s="42" t="str">
        <x:v>文件对比测试</x:v>
      </x:c>
      <x:c r="Q91" s="43" t="str"/>
    </x:row>
    <x:row r="92">
      <x:c r="A92" s="41" t="str">
        <x:v>P5-020</x:v>
      </x:c>
      <x:c r="B92" s="42" t="str">
        <x:v>P5 可视化</x:v>
      </x:c>
      <x:c r="C92" s="42" t="str">
        <x:v>性能</x:v>
      </x:c>
      <x:c r="D92" s="42" t="str">
        <x:v>UI性能专项优化</x:v>
      </x:c>
      <x:c r="E92" s="42" t="str">
        <x:v>虚拟列表、后台查询、缓存、避免主线程阻塞。</x:v>
      </x:c>
      <x:c r="F92" s="42" t="str">
        <x:v>UI Performance Report</x:v>
      </x:c>
      <x:c r="G92" s="42" t="str">
        <x:v>P0</x:v>
      </x:c>
      <x:c r="H92" s="42" t="str">
        <x:v>未分配</x:v>
      </x:c>
      <x:c r="I92" s="42" t="n">
        <x:v>12</x:v>
      </x:c>
      <x:c r="J92" s="42" t="n">
        <x:v>12</x:v>
      </x:c>
      <x:c r="K92" s="42" t="n">
        <x:v>1.5</x:v>
      </x:c>
      <x:c r="L92" s="42" t="str">
        <x:v>P5-005:P5-019</x:v>
      </x:c>
      <x:c r="M92" s="42" t="str">
        <x:v>未开始</x:v>
      </x:c>
      <x:c r="N92" s="56" t="n">
        <x:v>0</x:v>
      </x:c>
      <x:c r="O92" s="42" t="str">
        <x:v>关键交互达到性能目标</x:v>
      </x:c>
      <x:c r="P92" s="42" t="str">
        <x:v>Profile+基准测试</x:v>
      </x:c>
      <x:c r="Q92" s="43" t="str"/>
    </x:row>
    <x:row r="93">
      <x:c r="A93" s="41" t="str">
        <x:v>P6-001</x:v>
      </x:c>
      <x:c r="B93" s="42" t="str">
        <x:v>P6 自动分析</x:v>
      </x:c>
      <x:c r="C93" s="42" t="str">
        <x:v>规则框架</x:v>
      </x:c>
      <x:c r="D93" s="42" t="str">
        <x:v>定义规则接口与执行器</x:v>
      </x:c>
      <x:c r="E93" s="42" t="str">
        <x:v>规则输入、输出、优先级、依赖和异常隔离。</x:v>
      </x:c>
      <x:c r="F93" s="42" t="str">
        <x:v>RuleEngine</x:v>
      </x:c>
      <x:c r="G93" s="42" t="str">
        <x:v>P0</x:v>
      </x:c>
      <x:c r="H93" s="42" t="str">
        <x:v>未分配</x:v>
      </x:c>
      <x:c r="I93" s="42" t="n">
        <x:v>13</x:v>
      </x:c>
      <x:c r="J93" s="42" t="n">
        <x:v>13</x:v>
      </x:c>
      <x:c r="K93" s="42" t="n">
        <x:v>1</x:v>
      </x:c>
      <x:c r="L93" s="42" t="str">
        <x:v>P4-010,P5-017</x:v>
      </x:c>
      <x:c r="M93" s="42" t="str">
        <x:v>未开始</x:v>
      </x:c>
      <x:c r="N93" s="56" t="n">
        <x:v>0</x:v>
      </x:c>
      <x:c r="O93" s="42" t="str">
        <x:v>单条规则失败不影响其他规则</x:v>
      </x:c>
      <x:c r="P93" s="42" t="str">
        <x:v>规则框架测试</x:v>
      </x:c>
      <x:c r="Q93" s="43" t="str"/>
    </x:row>
    <x:row r="94">
      <x:c r="A94" s="41" t="str">
        <x:v>P6-002</x:v>
      </x:c>
      <x:c r="B94" s="42" t="str">
        <x:v>P6 自动分析</x:v>
      </x:c>
      <x:c r="C94" s="42" t="str">
        <x:v>证据</x:v>
      </x:c>
      <x:c r="D94" s="42" t="str">
        <x:v>实现Evidence Builder</x:v>
      </x:c>
      <x:c r="E94" s="42" t="str">
        <x:v>统一函数、线程、比例、时间范围和查询链接。</x:v>
      </x:c>
      <x:c r="F94" s="42" t="str">
        <x:v>EvidenceBuilder</x:v>
      </x:c>
      <x:c r="G94" s="42" t="str">
        <x:v>P0</x:v>
      </x:c>
      <x:c r="H94" s="42" t="str">
        <x:v>未分配</x:v>
      </x:c>
      <x:c r="I94" s="42" t="n">
        <x:v>13</x:v>
      </x:c>
      <x:c r="J94" s="42" t="n">
        <x:v>13</x:v>
      </x:c>
      <x:c r="K94" s="42" t="n">
        <x:v>1</x:v>
      </x:c>
      <x:c r="L94" s="42" t="str">
        <x:v>P6-001</x:v>
      </x:c>
      <x:c r="M94" s="42" t="str">
        <x:v>未开始</x:v>
      </x:c>
      <x:c r="N94" s="56" t="n">
        <x:v>0</x:v>
      </x:c>
      <x:c r="O94" s="42" t="str">
        <x:v>每条诊断至少包含一条可复查证据</x:v>
      </x:c>
      <x:c r="P94" s="42" t="str">
        <x:v>序列化测试</x:v>
      </x:c>
      <x:c r="Q94" s="43" t="str"/>
    </x:row>
    <x:row r="95">
      <x:c r="A95" s="41" t="str">
        <x:v>P6-003</x:v>
      </x:c>
      <x:c r="B95" s="42" t="str">
        <x:v>P6 自动分析</x:v>
      </x:c>
      <x:c r="C95" s="42" t="str">
        <x:v>数据质量</x:v>
      </x:c>
      <x:c r="D95" s="42" t="str">
        <x:v>实现Lost Sample规则</x:v>
      </x:c>
      <x:c r="E95" s="42" t="str">
        <x:v>计算丢失比例并分级。</x:v>
      </x:c>
      <x:c r="F95" s="42" t="str">
        <x:v>LostSampleRule</x:v>
      </x:c>
      <x:c r="G95" s="42" t="str">
        <x:v>P0</x:v>
      </x:c>
      <x:c r="H95" s="42" t="str">
        <x:v>未分配</x:v>
      </x:c>
      <x:c r="I95" s="42" t="n">
        <x:v>13</x:v>
      </x:c>
      <x:c r="J95" s="42" t="n">
        <x:v>13</x:v>
      </x:c>
      <x:c r="K95" s="42" t="n">
        <x:v>0.5</x:v>
      </x:c>
      <x:c r="L95" s="42" t="str">
        <x:v>P3-012,P6-001</x:v>
      </x:c>
      <x:c r="M95" s="42" t="str">
        <x:v>未开始</x:v>
      </x:c>
      <x:c r="N95" s="56" t="n">
        <x:v>0</x:v>
      </x:c>
      <x:c r="O95" s="42" t="str">
        <x:v>阈值可配置，证据引用原始计数</x:v>
      </x:c>
      <x:c r="P95" s="42" t="str">
        <x:v>规则测试</x:v>
      </x:c>
      <x:c r="Q95" s="43" t="str"/>
    </x:row>
    <x:row r="96">
      <x:c r="A96" s="41" t="str">
        <x:v>P6-004</x:v>
      </x:c>
      <x:c r="B96" s="42" t="str">
        <x:v>P6 自动分析</x:v>
      </x:c>
      <x:c r="C96" s="42" t="str">
        <x:v>数据质量</x:v>
      </x:c>
      <x:c r="D96" s="42" t="str">
        <x:v>实现Unknown Symbol规则</x:v>
      </x:c>
      <x:c r="E96" s="42" t="str">
        <x:v>按线程、DSO统计Unknown比例。</x:v>
      </x:c>
      <x:c r="F96" s="42" t="str">
        <x:v>UnknownSymbolRule</x:v>
      </x:c>
      <x:c r="G96" s="42" t="str">
        <x:v>P0</x:v>
      </x:c>
      <x:c r="H96" s="42" t="str">
        <x:v>未分配</x:v>
      </x:c>
      <x:c r="I96" s="42" t="n">
        <x:v>13</x:v>
      </x:c>
      <x:c r="J96" s="42" t="n">
        <x:v>13</x:v>
      </x:c>
      <x:c r="K96" s="42" t="n">
        <x:v>0.75</x:v>
      </x:c>
      <x:c r="L96" s="42" t="str">
        <x:v>P5-016,P6-001</x:v>
      </x:c>
      <x:c r="M96" s="42" t="str">
        <x:v>未开始</x:v>
      </x:c>
      <x:c r="N96" s="56" t="n">
        <x:v>0</x:v>
      </x:c>
      <x:c r="O96" s="42" t="str">
        <x:v>可定位Unknown主要来源</x:v>
      </x:c>
      <x:c r="P96" s="42" t="str">
        <x:v>Fixture测试</x:v>
      </x:c>
      <x:c r="Q96" s="43" t="str"/>
    </x:row>
    <x:row r="97">
      <x:c r="A97" s="41" t="str">
        <x:v>P6-005</x:v>
      </x:c>
      <x:c r="B97" s="42" t="str">
        <x:v>P6 自动分析</x:v>
      </x:c>
      <x:c r="C97" s="42" t="str">
        <x:v>数据质量</x:v>
      </x:c>
      <x:c r="D97" s="42" t="str">
        <x:v>实现Unwind质量规则</x:v>
      </x:c>
      <x:c r="E97" s="42" t="str">
        <x:v>统计错误类型、空栈和浅栈比例。</x:v>
      </x:c>
      <x:c r="F97" s="42" t="str">
        <x:v>UnwindQualityRule</x:v>
      </x:c>
      <x:c r="G97" s="42" t="str">
        <x:v>P0</x:v>
      </x:c>
      <x:c r="H97" s="42" t="str">
        <x:v>未分配</x:v>
      </x:c>
      <x:c r="I97" s="42" t="n">
        <x:v>13</x:v>
      </x:c>
      <x:c r="J97" s="42" t="n">
        <x:v>13</x:v>
      </x:c>
      <x:c r="K97" s="42" t="n">
        <x:v>0.75</x:v>
      </x:c>
      <x:c r="L97" s="42" t="str">
        <x:v>P3-014,P6-001</x:v>
      </x:c>
      <x:c r="M97" s="42" t="str">
        <x:v>未开始</x:v>
      </x:c>
      <x:c r="N97" s="56" t="n">
        <x:v>0</x:v>
      </x:c>
      <x:c r="O97" s="42" t="str">
        <x:v>限制说明与数据质量分数联动</x:v>
      </x:c>
      <x:c r="P97" s="42" t="str">
        <x:v>Fixture测试</x:v>
      </x:c>
      <x:c r="Q97" s="43" t="str"/>
    </x:row>
    <x:row r="98">
      <x:c r="A98" s="41" t="str">
        <x:v>P6-006</x:v>
      </x:c>
      <x:c r="B98" s="42" t="str">
        <x:v>P6 自动分析</x:v>
      </x:c>
      <x:c r="C98" s="42" t="str">
        <x:v>通用热点</x:v>
      </x:c>
      <x:c r="D98" s="42" t="str">
        <x:v>实现高Self CPU规则</x:v>
      </x:c>
      <x:c r="E98" s="42" t="str">
        <x:v>识别单函数Self权重异常。</x:v>
      </x:c>
      <x:c r="F98" s="42" t="str">
        <x:v>HighSelfCpuRule</x:v>
      </x:c>
      <x:c r="G98" s="42" t="str">
        <x:v>P0</x:v>
      </x:c>
      <x:c r="H98" s="42" t="str">
        <x:v>未分配</x:v>
      </x:c>
      <x:c r="I98" s="42" t="n">
        <x:v>13</x:v>
      </x:c>
      <x:c r="J98" s="42" t="n">
        <x:v>13</x:v>
      </x:c>
      <x:c r="K98" s="42" t="n">
        <x:v>0.75</x:v>
      </x:c>
      <x:c r="L98" s="42" t="str">
        <x:v>P4-010,P6-001</x:v>
      </x:c>
      <x:c r="M98" s="42" t="str">
        <x:v>未开始</x:v>
      </x:c>
      <x:c r="N98" s="56" t="n">
        <x:v>0</x:v>
      </x:c>
      <x:c r="O98" s="42" t="str">
        <x:v>按事件类型独立计算</x:v>
      </x:c>
      <x:c r="P98" s="42" t="str">
        <x:v>规则测试</x:v>
      </x:c>
      <x:c r="Q98" s="43" t="str"/>
    </x:row>
    <x:row r="99">
      <x:c r="A99" s="41" t="str">
        <x:v>P6-007</x:v>
      </x:c>
      <x:c r="B99" s="42" t="str">
        <x:v>P6 自动分析</x:v>
      </x:c>
      <x:c r="C99" s="42" t="str">
        <x:v>通用热点</x:v>
      </x:c>
      <x:c r="D99" s="42" t="str">
        <x:v>实现高Inclusive路径规则</x:v>
      </x:c>
      <x:c r="E99" s="42" t="str">
        <x:v>识别调用链累计热点并去重相近路径。</x:v>
      </x:c>
      <x:c r="F99" s="42" t="str">
        <x:v>HighInclusivePathRule</x:v>
      </x:c>
      <x:c r="G99" s="42" t="str">
        <x:v>P0</x:v>
      </x:c>
      <x:c r="H99" s="42" t="str">
        <x:v>未分配</x:v>
      </x:c>
      <x:c r="I99" s="42" t="n">
        <x:v>13</x:v>
      </x:c>
      <x:c r="J99" s="42" t="n">
        <x:v>13</x:v>
      </x:c>
      <x:c r="K99" s="42" t="n">
        <x:v>1</x:v>
      </x:c>
      <x:c r="L99" s="42" t="str">
        <x:v>P4-010,P6-001</x:v>
      </x:c>
      <x:c r="M99" s="42" t="str">
        <x:v>未开始</x:v>
      </x:c>
      <x:c r="N99" s="56" t="n">
        <x:v>0</x:v>
      </x:c>
      <x:c r="O99" s="42" t="str">
        <x:v>输出完整调用路径和占比</x:v>
      </x:c>
      <x:c r="P99" s="42" t="str">
        <x:v>规则测试</x:v>
      </x:c>
      <x:c r="Q99" s="43" t="str"/>
    </x:row>
    <x:row r="100">
      <x:c r="A100" s="41" t="str">
        <x:v>P6-008</x:v>
      </x:c>
      <x:c r="B100" s="42" t="str">
        <x:v>P6 自动分析</x:v>
      </x:c>
      <x:c r="C100" s="42" t="str">
        <x:v>线程</x:v>
      </x:c>
      <x:c r="D100" s="42" t="str">
        <x:v>实现CPU集中度规则</x:v>
      </x:c>
      <x:c r="E100" s="42" t="str">
        <x:v>识别单线程占比过高及进程内集中度。</x:v>
      </x:c>
      <x:c r="F100" s="42" t="str">
        <x:v>ThreadConcentrationRule</x:v>
      </x:c>
      <x:c r="G100" s="42" t="str">
        <x:v>P1</x:v>
      </x:c>
      <x:c r="H100" s="42" t="str">
        <x:v>未分配</x:v>
      </x:c>
      <x:c r="I100" s="42" t="n">
        <x:v>13</x:v>
      </x:c>
      <x:c r="J100" s="42" t="n">
        <x:v>13</x:v>
      </x:c>
      <x:c r="K100" s="42" t="n">
        <x:v>0.75</x:v>
      </x:c>
      <x:c r="L100" s="42" t="str">
        <x:v>P4-009,P6-001</x:v>
      </x:c>
      <x:c r="M100" s="42" t="str">
        <x:v>未开始</x:v>
      </x:c>
      <x:c r="N100" s="56" t="n">
        <x:v>0</x:v>
      </x:c>
      <x:c r="O100" s="42" t="str">
        <x:v>阈值随线程类型可配置</x:v>
      </x:c>
      <x:c r="P100" s="42" t="str">
        <x:v>规则测试</x:v>
      </x:c>
      <x:c r="Q100" s="43" t="str"/>
    </x:row>
    <x:row r="101">
      <x:c r="A101" s="41" t="str">
        <x:v>P6-009</x:v>
      </x:c>
      <x:c r="B101" s="42" t="str">
        <x:v>P6 自动分析</x:v>
      </x:c>
      <x:c r="C101" s="42" t="str">
        <x:v>Android</x:v>
      </x:c>
      <x:c r="D101" s="42" t="str">
        <x:v>实现主线程Traversal规则</x:v>
      </x:c>
      <x:c r="E101" s="42" t="str">
        <x:v>识别Looper/Choreographer/ViewRootImpl/measure/layout/draw热点。</x:v>
      </x:c>
      <x:c r="F101" s="42" t="str">
        <x:v>MainThreadTraversalRule</x:v>
      </x:c>
      <x:c r="G101" s="42" t="str">
        <x:v>P0</x:v>
      </x:c>
      <x:c r="H101" s="42" t="str">
        <x:v>未分配</x:v>
      </x:c>
      <x:c r="I101" s="42" t="n">
        <x:v>14</x:v>
      </x:c>
      <x:c r="J101" s="42" t="n">
        <x:v>14</x:v>
      </x:c>
      <x:c r="K101" s="42" t="n">
        <x:v>1.25</x:v>
      </x:c>
      <x:c r="L101" s="42" t="str">
        <x:v>P6-007</x:v>
      </x:c>
      <x:c r="M101" s="42" t="str">
        <x:v>未开始</x:v>
      </x:c>
      <x:c r="N101" s="56" t="n">
        <x:v>0</x:v>
      </x:c>
      <x:c r="O101" s="42" t="str">
        <x:v>输出调用证据且声明非帧级因果</x:v>
      </x:c>
      <x:c r="P101" s="42" t="str">
        <x:v>Launcher样本测试</x:v>
      </x:c>
      <x:c r="Q101" s="43" t="str"/>
    </x:row>
    <x:row r="102">
      <x:c r="A102" s="41" t="str">
        <x:v>P6-010</x:v>
      </x:c>
      <x:c r="B102" s="42" t="str">
        <x:v>P6 自动分析</x:v>
      </x:c>
      <x:c r="C102" s="42" t="str">
        <x:v>Android</x:v>
      </x:c>
      <x:c r="D102" s="42" t="str">
        <x:v>实现RenderThread规则</x:v>
      </x:c>
      <x:c r="E102" s="42" t="str">
        <x:v>识别DrawFrameTask/Skia/GLES/Vulkan/提交热点。</x:v>
      </x:c>
      <x:c r="F102" s="42" t="str">
        <x:v>RenderThreadRule</x:v>
      </x:c>
      <x:c r="G102" s="42" t="str">
        <x:v>P0</x:v>
      </x:c>
      <x:c r="H102" s="42" t="str">
        <x:v>未分配</x:v>
      </x:c>
      <x:c r="I102" s="42" t="n">
        <x:v>14</x:v>
      </x:c>
      <x:c r="J102" s="42" t="n">
        <x:v>14</x:v>
      </x:c>
      <x:c r="K102" s="42" t="n">
        <x:v>1.25</x:v>
      </x:c>
      <x:c r="L102" s="42" t="str">
        <x:v>P6-007</x:v>
      </x:c>
      <x:c r="M102" s="42" t="str">
        <x:v>未开始</x:v>
      </x:c>
      <x:c r="N102" s="56" t="n">
        <x:v>0</x:v>
      </x:c>
      <x:c r="O102" s="42" t="str">
        <x:v>区分CPU侧绘制和驱动调用模式</x:v>
      </x:c>
      <x:c r="P102" s="42" t="str">
        <x:v>RenderThread样本</x:v>
      </x:c>
      <x:c r="Q102" s="43" t="str"/>
    </x:row>
    <x:row r="103">
      <x:c r="A103" s="41" t="str">
        <x:v>P6-011</x:v>
      </x:c>
      <x:c r="B103" s="42" t="str">
        <x:v>P6 自动分析</x:v>
      </x:c>
      <x:c r="C103" s="42" t="str">
        <x:v>Android</x:v>
      </x:c>
      <x:c r="D103" s="42" t="str">
        <x:v>实现Binder热点规则</x:v>
      </x:c>
      <x:c r="E103" s="42" t="str">
        <x:v>识别BinderProxy/transact/ioctl相关CPU热点。</x:v>
      </x:c>
      <x:c r="F103" s="42" t="str">
        <x:v>BinderHotspotRule</x:v>
      </x:c>
      <x:c r="G103" s="42" t="str">
        <x:v>P1</x:v>
      </x:c>
      <x:c r="H103" s="42" t="str">
        <x:v>未分配</x:v>
      </x:c>
      <x:c r="I103" s="42" t="n">
        <x:v>14</x:v>
      </x:c>
      <x:c r="J103" s="42" t="n">
        <x:v>14</x:v>
      </x:c>
      <x:c r="K103" s="42" t="n">
        <x:v>0.75</x:v>
      </x:c>
      <x:c r="L103" s="42" t="str">
        <x:v>P6-006,P6-007</x:v>
      </x:c>
      <x:c r="M103" s="42" t="str">
        <x:v>未开始</x:v>
      </x:c>
      <x:c r="N103" s="56" t="n">
        <x:v>0</x:v>
      </x:c>
      <x:c r="O103" s="42" t="str">
        <x:v>仅陈述CPU热点，不误判等待时间</x:v>
      </x:c>
      <x:c r="P103" s="42" t="str">
        <x:v>系统应用样本</x:v>
      </x:c>
      <x:c r="Q103" s="43" t="str"/>
    </x:row>
    <x:row r="104">
      <x:c r="A104" s="41" t="str">
        <x:v>P6-012</x:v>
      </x:c>
      <x:c r="B104" s="42" t="str">
        <x:v>P6 自动分析</x:v>
      </x:c>
      <x:c r="C104" s="42" t="str">
        <x:v>Android</x:v>
      </x:c>
      <x:c r="D104" s="42" t="str">
        <x:v>实现ART/GC规则</x:v>
      </x:c>
      <x:c r="E104" s="42" t="str">
        <x:v>识别art::gc、分配、JIT和类加载热点。</x:v>
      </x:c>
      <x:c r="F104" s="42" t="str">
        <x:v>ArtRuntimeRule</x:v>
      </x:c>
      <x:c r="G104" s="42" t="str">
        <x:v>P1</x:v>
      </x:c>
      <x:c r="H104" s="42" t="str">
        <x:v>未分配</x:v>
      </x:c>
      <x:c r="I104" s="42" t="n">
        <x:v>14</x:v>
      </x:c>
      <x:c r="J104" s="42" t="n">
        <x:v>14</x:v>
      </x:c>
      <x:c r="K104" s="42" t="n">
        <x:v>0.75</x:v>
      </x:c>
      <x:c r="L104" s="42" t="str">
        <x:v>P6-006,P6-007</x:v>
      </x:c>
      <x:c r="M104" s="42" t="str">
        <x:v>未开始</x:v>
      </x:c>
      <x:c r="N104" s="56" t="n">
        <x:v>0</x:v>
      </x:c>
      <x:c r="O104" s="42" t="str">
        <x:v>分类结果和函数证据一致</x:v>
      </x:c>
      <x:c r="P104" s="42" t="str">
        <x:v>Java/混合样本</x:v>
      </x:c>
      <x:c r="Q104" s="43" t="str"/>
    </x:row>
    <x:row r="105">
      <x:c r="A105" s="41" t="str">
        <x:v>P6-013</x:v>
      </x:c>
      <x:c r="B105" s="42" t="str">
        <x:v>P6 自动分析</x:v>
      </x:c>
      <x:c r="C105" s="42" t="str">
        <x:v>建议</x:v>
      </x:c>
      <x:c r="D105" s="42" t="str">
        <x:v>建立建议模板库</x:v>
      </x:c>
      <x:c r="E105" s="42" t="str">
        <x:v>按证据类型给出可执行但有边界的建议。</x:v>
      </x:c>
      <x:c r="F105" s="42" t="str">
        <x:v>RecommendationCatalog</x:v>
      </x:c>
      <x:c r="G105" s="42" t="str">
        <x:v>P1</x:v>
      </x:c>
      <x:c r="H105" s="42" t="str">
        <x:v>未分配</x:v>
      </x:c>
      <x:c r="I105" s="42" t="n">
        <x:v>14</x:v>
      </x:c>
      <x:c r="J105" s="42" t="n">
        <x:v>14</x:v>
      </x:c>
      <x:c r="K105" s="42" t="n">
        <x:v>0.75</x:v>
      </x:c>
      <x:c r="L105" s="42" t="str">
        <x:v>P6-009:P6-012</x:v>
      </x:c>
      <x:c r="M105" s="42" t="str">
        <x:v>未开始</x:v>
      </x:c>
      <x:c r="N105" s="56" t="n">
        <x:v>0</x:v>
      </x:c>
      <x:c r="O105" s="42" t="str">
        <x:v>建议不脱离证据，不承诺确定根因</x:v>
      </x:c>
      <x:c r="P105" s="42" t="str">
        <x:v>内容评审</x:v>
      </x:c>
      <x:c r="Q105" s="43" t="str"/>
    </x:row>
    <x:row r="106">
      <x:c r="A106" s="41" t="str">
        <x:v>P6-014</x:v>
      </x:c>
      <x:c r="B106" s="42" t="str">
        <x:v>P6 自动分析</x:v>
      </x:c>
      <x:c r="C106" s="42" t="str">
        <x:v>置信度</x:v>
      </x:c>
      <x:c r="D106" s="42" t="str">
        <x:v>实现工程置信度评分</x:v>
      </x:c>
      <x:c r="E106" s="42" t="str">
        <x:v>综合数据质量、占比、调用链完整度和规则一致性。</x:v>
      </x:c>
      <x:c r="F106" s="42" t="str">
        <x:v>ConfidenceScorer</x:v>
      </x:c>
      <x:c r="G106" s="42" t="str">
        <x:v>P1</x:v>
      </x:c>
      <x:c r="H106" s="42" t="str">
        <x:v>未分配</x:v>
      </x:c>
      <x:c r="I106" s="42" t="n">
        <x:v>14</x:v>
      </x:c>
      <x:c r="J106" s="42" t="n">
        <x:v>14</x:v>
      </x:c>
      <x:c r="K106" s="42" t="n">
        <x:v>0.75</x:v>
      </x:c>
      <x:c r="L106" s="42" t="str">
        <x:v>P6-002:P6-012</x:v>
      </x:c>
      <x:c r="M106" s="42" t="str">
        <x:v>未开始</x:v>
      </x:c>
      <x:c r="N106" s="56" t="n">
        <x:v>0</x:v>
      </x:c>
      <x:c r="O106" s="42" t="str">
        <x:v>评分可解释并可追溯到因子</x:v>
      </x:c>
      <x:c r="P106" s="42" t="str">
        <x:v>规则测试</x:v>
      </x:c>
      <x:c r="Q106" s="43" t="str"/>
    </x:row>
    <x:row r="107">
      <x:c r="A107" s="41" t="str">
        <x:v>P6-015</x:v>
      </x:c>
      <x:c r="B107" s="42" t="str">
        <x:v>P6 自动分析</x:v>
      </x:c>
      <x:c r="C107" s="42" t="str">
        <x:v>测试</x:v>
      </x:c>
      <x:c r="D107" s="42" t="str">
        <x:v>建立规则Golden测试</x:v>
      </x:c>
      <x:c r="E107" s="42" t="str">
        <x:v>固定输入对应固定诊断和证据。</x:v>
      </x:c>
      <x:c r="F107" s="42" t="str">
        <x:v>Rule Golden Tests</x:v>
      </x:c>
      <x:c r="G107" s="42" t="str">
        <x:v>P0</x:v>
      </x:c>
      <x:c r="H107" s="42" t="str">
        <x:v>未分配</x:v>
      </x:c>
      <x:c r="I107" s="42" t="n">
        <x:v>14</x:v>
      </x:c>
      <x:c r="J107" s="42" t="n">
        <x:v>14</x:v>
      </x:c>
      <x:c r="K107" s="42" t="n">
        <x:v>1</x:v>
      </x:c>
      <x:c r="L107" s="42" t="str">
        <x:v>P6-014</x:v>
      </x:c>
      <x:c r="M107" s="42" t="str">
        <x:v>未开始</x:v>
      </x:c>
      <x:c r="N107" s="56" t="n">
        <x:v>0</x:v>
      </x:c>
      <x:c r="O107" s="42" t="str">
        <x:v>规则变更需要显式更新Golden</x:v>
      </x:c>
      <x:c r="P107" s="42" t="str">
        <x:v>CI执行</x:v>
      </x:c>
      <x:c r="Q107" s="43" t="str"/>
    </x:row>
    <x:row r="108">
      <x:c r="A108" s="41" t="str">
        <x:v>P7-001</x:v>
      </x:c>
      <x:c r="B108" s="42" t="str">
        <x:v>P7 稳定与发布</x:v>
      </x:c>
      <x:c r="C108" s="42" t="str">
        <x:v>会话</x:v>
      </x:c>
      <x:c r="D108" s="42" t="str">
        <x:v>实现Session导入导出包</x:v>
      </x:c>
      <x:c r="E108" s="42" t="str">
        <x:v>打包metadata、raw、proto、db、日志和符号引用。</x:v>
      </x:c>
      <x:c r="F108" s="42" t="str">
        <x:v>Session Package</x:v>
      </x:c>
      <x:c r="G108" s="42" t="str">
        <x:v>P1</x:v>
      </x:c>
      <x:c r="H108" s="42" t="str">
        <x:v>未分配</x:v>
      </x:c>
      <x:c r="I108" s="42" t="n">
        <x:v>15</x:v>
      </x:c>
      <x:c r="J108" s="42" t="n">
        <x:v>15</x:v>
      </x:c>
      <x:c r="K108" s="42" t="n">
        <x:v>1.25</x:v>
      </x:c>
      <x:c r="L108" s="42" t="str">
        <x:v>P4-003,P5-019</x:v>
      </x:c>
      <x:c r="M108" s="42" t="str">
        <x:v>未开始</x:v>
      </x:c>
      <x:c r="N108" s="56" t="n">
        <x:v>0</x:v>
      </x:c>
      <x:c r="O108" s="42" t="str">
        <x:v>导出前checkpoint，重新导入数据一致</x:v>
      </x:c>
      <x:c r="P108" s="42" t="str">
        <x:v>E2E测试</x:v>
      </x:c>
      <x:c r="Q108" s="43" t="str"/>
    </x:row>
    <x:row r="109">
      <x:c r="A109" s="41" t="str">
        <x:v>P7-002</x:v>
      </x:c>
      <x:c r="B109" s="42" t="str">
        <x:v>P7 稳定与发布</x:v>
      </x:c>
      <x:c r="C109" s="42" t="str">
        <x:v>恢复</x:v>
      </x:c>
      <x:c r="D109" s="42" t="str">
        <x:v>实现异常恢复与残留清理</x:v>
      </x:c>
      <x:c r="E109" s="42" t="str">
        <x:v>扫描未完成Session，提供恢复、重试和清理。</x:v>
      </x:c>
      <x:c r="F109" s="42" t="str">
        <x:v>RecoveryManager</x:v>
      </x:c>
      <x:c r="G109" s="42" t="str">
        <x:v>P0</x:v>
      </x:c>
      <x:c r="H109" s="42" t="str">
        <x:v>未分配</x:v>
      </x:c>
      <x:c r="I109" s="42" t="n">
        <x:v>15</x:v>
      </x:c>
      <x:c r="J109" s="42" t="n">
        <x:v>15</x:v>
      </x:c>
      <x:c r="K109" s="42" t="n">
        <x:v>1</x:v>
      </x:c>
      <x:c r="L109" s="42" t="str">
        <x:v>P1-003,P1-011</x:v>
      </x:c>
      <x:c r="M109" s="42" t="str">
        <x:v>未开始</x:v>
      </x:c>
      <x:c r="N109" s="56" t="n">
        <x:v>0</x:v>
      </x:c>
      <x:c r="O109" s="42" t="str">
        <x:v>崩溃后不丢原始perf.data</x:v>
      </x:c>
      <x:c r="P109" s="42" t="str">
        <x:v>故障注入测试</x:v>
      </x:c>
      <x:c r="Q109" s="43" t="str"/>
    </x:row>
    <x:row r="110">
      <x:c r="A110" s="41" t="str">
        <x:v>P7-003</x:v>
      </x:c>
      <x:c r="B110" s="42" t="str">
        <x:v>P7 稳定与发布</x:v>
      </x:c>
      <x:c r="C110" s="42" t="str">
        <x:v>数据管理</x:v>
      </x:c>
      <x:c r="D110" s="42" t="str">
        <x:v>实现磁盘空间和清理策略</x:v>
      </x:c>
      <x:c r="E110" s="42" t="str">
        <x:v>显示Session大小、缓存大小、可安全删除项。</x:v>
      </x:c>
      <x:c r="F110" s="42" t="str">
        <x:v>StorageManager</x:v>
      </x:c>
      <x:c r="G110" s="42" t="str">
        <x:v>P1</x:v>
      </x:c>
      <x:c r="H110" s="42" t="str">
        <x:v>未分配</x:v>
      </x:c>
      <x:c r="I110" s="42" t="n">
        <x:v>15</x:v>
      </x:c>
      <x:c r="J110" s="42" t="n">
        <x:v>15</x:v>
      </x:c>
      <x:c r="K110" s="42" t="n">
        <x:v>0.75</x:v>
      </x:c>
      <x:c r="L110" s="42" t="str">
        <x:v>P1-004</x:v>
      </x:c>
      <x:c r="M110" s="42" t="str">
        <x:v>未开始</x:v>
      </x:c>
      <x:c r="N110" s="56" t="n">
        <x:v>0</x:v>
      </x:c>
      <x:c r="O110" s="42" t="str">
        <x:v>不会删除正在使用或唯一原始数据</x:v>
      </x:c>
      <x:c r="P110" s="42" t="str">
        <x:v>删除测试</x:v>
      </x:c>
      <x:c r="Q110" s="43" t="str"/>
    </x:row>
    <x:row r="111">
      <x:c r="A111" s="41" t="str">
        <x:v>P7-004</x:v>
      </x:c>
      <x:c r="B111" s="42" t="str">
        <x:v>P7 稳定与发布</x:v>
      </x:c>
      <x:c r="C111" s="42" t="str">
        <x:v>安全</x:v>
      </x:c>
      <x:c r="D111" s="42" t="str">
        <x:v>完成输入与命令安全审计</x:v>
      </x:c>
      <x:c r="E111" s="42" t="str">
        <x:v>检查路径、参数数组、Record大小限制和临时文件。</x:v>
      </x:c>
      <x:c r="F111" s="42" t="str">
        <x:v>Security Checklist</x:v>
      </x:c>
      <x:c r="G111" s="42" t="str">
        <x:v>P0</x:v>
      </x:c>
      <x:c r="H111" s="42" t="str">
        <x:v>未分配</x:v>
      </x:c>
      <x:c r="I111" s="42" t="n">
        <x:v>15</x:v>
      </x:c>
      <x:c r="J111" s="42" t="n">
        <x:v>15</x:v>
      </x:c>
      <x:c r="K111" s="42" t="n">
        <x:v>0.75</x:v>
      </x:c>
      <x:c r="L111" s="42" t="str">
        <x:v>P1-009,P3-007</x:v>
      </x:c>
      <x:c r="M111" s="42" t="str">
        <x:v>未开始</x:v>
      </x:c>
      <x:c r="N111" s="56" t="n">
        <x:v>0</x:v>
      </x:c>
      <x:c r="O111" s="42" t="str">
        <x:v>无shell拼接和任意路径覆盖</x:v>
      </x:c>
      <x:c r="P111" s="42" t="str">
        <x:v>代码审查</x:v>
      </x:c>
      <x:c r="Q111" s="43" t="str"/>
    </x:row>
    <x:row r="112">
      <x:c r="A112" s="41" t="str">
        <x:v>P7-005</x:v>
      </x:c>
      <x:c r="B112" s="42" t="str">
        <x:v>P7 稳定与发布</x:v>
      </x:c>
      <x:c r="C112" s="42" t="str">
        <x:v>性能</x:v>
      </x:c>
      <x:c r="D112" s="42" t="str">
        <x:v>完成百万样本性能优化</x:v>
      </x:c>
      <x:c r="E112" s="42" t="str">
        <x:v>达到导入、打开、FlameGraph和过滤目标。</x:v>
      </x:c>
      <x:c r="F112" s="42" t="str">
        <x:v>Performance Report</x:v>
      </x:c>
      <x:c r="G112" s="42" t="str">
        <x:v>P0</x:v>
      </x:c>
      <x:c r="H112" s="42" t="str">
        <x:v>未分配</x:v>
      </x:c>
      <x:c r="I112" s="42" t="n">
        <x:v>15</x:v>
      </x:c>
      <x:c r="J112" s="42" t="n">
        <x:v>15</x:v>
      </x:c>
      <x:c r="K112" s="42" t="n">
        <x:v>1.5</x:v>
      </x:c>
      <x:c r="L112" s="42" t="str">
        <x:v>P4-013,P5-020</x:v>
      </x:c>
      <x:c r="M112" s="42" t="str">
        <x:v>未开始</x:v>
      </x:c>
      <x:c r="N112" s="56" t="n">
        <x:v>0</x:v>
      </x:c>
      <x:c r="O112" s="42" t="str">
        <x:v>关键指标达到项目总览目标</x:v>
      </x:c>
      <x:c r="P112" s="42" t="str">
        <x:v>基准测试</x:v>
      </x:c>
      <x:c r="Q112" s="43" t="str"/>
    </x:row>
    <x:row r="113">
      <x:c r="A113" s="41" t="str">
        <x:v>P7-006</x:v>
      </x:c>
      <x:c r="B113" s="42" t="str">
        <x:v>P7 稳定与发布</x:v>
      </x:c>
      <x:c r="C113" s="42" t="str">
        <x:v>打包</x:v>
      </x:c>
      <x:c r="D113" s="42" t="str">
        <x:v>生成macOS arm64安装包</x:v>
      </x:c>
      <x:c r="E113" s="42" t="str">
        <x:v>配置jpackage、图标、签名占位和运行时。</x:v>
      </x:c>
      <x:c r="F113" s="42" t="str">
        <x:v>macOS DMG/PKG</x:v>
      </x:c>
      <x:c r="G113" s="42" t="str">
        <x:v>P0</x:v>
      </x:c>
      <x:c r="H113" s="42" t="str">
        <x:v>未分配</x:v>
      </x:c>
      <x:c r="I113" s="42" t="n">
        <x:v>15</x:v>
      </x:c>
      <x:c r="J113" s="42" t="n">
        <x:v>15</x:v>
      </x:c>
      <x:c r="K113" s="42" t="n">
        <x:v>1</x:v>
      </x:c>
      <x:c r="L113" s="42" t="str">
        <x:v>P5-020</x:v>
      </x:c>
      <x:c r="M113" s="42" t="str">
        <x:v>未开始</x:v>
      </x:c>
      <x:c r="N113" s="56" t="n">
        <x:v>0</x:v>
      </x:c>
      <x:c r="O113" s="42" t="str">
        <x:v>干净机器可安装和运行</x:v>
      </x:c>
      <x:c r="P113" s="42" t="str">
        <x:v>真实机器测试</x:v>
      </x:c>
      <x:c r="Q113" s="43" t="str"/>
    </x:row>
    <x:row r="114">
      <x:c r="A114" s="41" t="str">
        <x:v>P7-007</x:v>
      </x:c>
      <x:c r="B114" s="42" t="str">
        <x:v>P7 稳定与发布</x:v>
      </x:c>
      <x:c r="C114" s="42" t="str">
        <x:v>打包</x:v>
      </x:c>
      <x:c r="D114" s="42" t="str">
        <x:v>生成Windows x64安装包</x:v>
      </x:c>
      <x:c r="E114" s="42" t="str">
        <x:v>配置EXE/MSI和运行时。</x:v>
      </x:c>
      <x:c r="F114" s="42" t="str">
        <x:v>Windows EXE/MSI</x:v>
      </x:c>
      <x:c r="G114" s="42" t="str">
        <x:v>P0</x:v>
      </x:c>
      <x:c r="H114" s="42" t="str">
        <x:v>未分配</x:v>
      </x:c>
      <x:c r="I114" s="42" t="n">
        <x:v>15</x:v>
      </x:c>
      <x:c r="J114" s="42" t="n">
        <x:v>15</x:v>
      </x:c>
      <x:c r="K114" s="42" t="n">
        <x:v>1</x:v>
      </x:c>
      <x:c r="L114" s="42" t="str">
        <x:v>P5-020</x:v>
      </x:c>
      <x:c r="M114" s="42" t="str">
        <x:v>未开始</x:v>
      </x:c>
      <x:c r="N114" s="56" t="n">
        <x:v>0</x:v>
      </x:c>
      <x:c r="O114" s="42" t="str">
        <x:v>干净机器可安装和运行</x:v>
      </x:c>
      <x:c r="P114" s="42" t="str">
        <x:v>Windows VM测试</x:v>
      </x:c>
      <x:c r="Q114" s="43" t="str"/>
    </x:row>
    <x:row r="115">
      <x:c r="A115" s="41" t="str">
        <x:v>P7-008</x:v>
      </x:c>
      <x:c r="B115" s="42" t="str">
        <x:v>P7 稳定与发布</x:v>
      </x:c>
      <x:c r="C115" s="42" t="str">
        <x:v>许可证</x:v>
      </x:c>
      <x:c r="D115" s="42" t="str">
        <x:v>整理第三方许可证</x:v>
      </x:c>
      <x:c r="E115" s="42" t="str">
        <x:v>列出Simpleperf、protobuf、SQLite、Compose等许可证。</x:v>
      </x:c>
      <x:c r="F115" s="42" t="str">
        <x:v>THIRD_PARTY_NOTICES</x:v>
      </x:c>
      <x:c r="G115" s="42" t="str">
        <x:v>P0</x:v>
      </x:c>
      <x:c r="H115" s="42" t="str">
        <x:v>未分配</x:v>
      </x:c>
      <x:c r="I115" s="42" t="n">
        <x:v>16</x:v>
      </x:c>
      <x:c r="J115" s="42" t="n">
        <x:v>16</x:v>
      </x:c>
      <x:c r="K115" s="42" t="n">
        <x:v>0.75</x:v>
      </x:c>
      <x:c r="L115" s="42" t="str">
        <x:v>P7-006,P7-007</x:v>
      </x:c>
      <x:c r="M115" s="42" t="str">
        <x:v>未开始</x:v>
      </x:c>
      <x:c r="N115" s="56" t="n">
        <x:v>0</x:v>
      </x:c>
      <x:c r="O115" s="42" t="str">
        <x:v>发行包包含许可证和NOTICE</x:v>
      </x:c>
      <x:c r="P115" s="42" t="str">
        <x:v>人工审查</x:v>
      </x:c>
      <x:c r="Q115" s="43" t="str"/>
    </x:row>
    <x:row r="116">
      <x:c r="A116" s="41" t="str">
        <x:v>P7-009</x:v>
      </x:c>
      <x:c r="B116" s="42" t="str">
        <x:v>P7 稳定与发布</x:v>
      </x:c>
      <x:c r="C116" s="42" t="str">
        <x:v>文档</x:v>
      </x:c>
      <x:c r="D116" s="42" t="str">
        <x:v>编写用户手册</x:v>
      </x:c>
      <x:c r="E116" s="42" t="str">
        <x:v>覆盖安装、设备、采集、导入、符号、报告和限制。</x:v>
      </x:c>
      <x:c r="F116" s="42" t="str">
        <x:v>User Guide</x:v>
      </x:c>
      <x:c r="G116" s="42" t="str">
        <x:v>P1</x:v>
      </x:c>
      <x:c r="H116" s="42" t="str">
        <x:v>未分配</x:v>
      </x:c>
      <x:c r="I116" s="42" t="n">
        <x:v>16</x:v>
      </x:c>
      <x:c r="J116" s="42" t="n">
        <x:v>16</x:v>
      </x:c>
      <x:c r="K116" s="42" t="n">
        <x:v>1</x:v>
      </x:c>
      <x:c r="L116" s="42" t="str">
        <x:v>P5-019,P6-015</x:v>
      </x:c>
      <x:c r="M116" s="42" t="str">
        <x:v>未开始</x:v>
      </x:c>
      <x:c r="N116" s="56" t="n">
        <x:v>0</x:v>
      </x:c>
      <x:c r="O116" s="42" t="str">
        <x:v>新用户可独立完成一次采集分析</x:v>
      </x:c>
      <x:c r="P116" s="42" t="str">
        <x:v>可用性测试</x:v>
      </x:c>
      <x:c r="Q116" s="43" t="str"/>
    </x:row>
    <x:row r="117">
      <x:c r="A117" s="41" t="str">
        <x:v>P7-010</x:v>
      </x:c>
      <x:c r="B117" s="42" t="str">
        <x:v>P7 稳定与发布</x:v>
      </x:c>
      <x:c r="C117" s="42" t="str">
        <x:v>文档</x:v>
      </x:c>
      <x:c r="D117" s="42" t="str">
        <x:v>编写开发文档</x:v>
      </x:c>
      <x:c r="E117" s="42" t="str">
        <x:v>模块架构、数据模型、协议、数据库、调试和发布。</x:v>
      </x:c>
      <x:c r="F117" s="42" t="str">
        <x:v>Developer Guide</x:v>
      </x:c>
      <x:c r="G117" s="42" t="str">
        <x:v>P1</x:v>
      </x:c>
      <x:c r="H117" s="42" t="str">
        <x:v>未分配</x:v>
      </x:c>
      <x:c r="I117" s="42" t="n">
        <x:v>16</x:v>
      </x:c>
      <x:c r="J117" s="42" t="n">
        <x:v>16</x:v>
      </x:c>
      <x:c r="K117" s="42" t="n">
        <x:v>1</x:v>
      </x:c>
      <x:c r="L117" s="42" t="str">
        <x:v>P1-001,P4-001</x:v>
      </x:c>
      <x:c r="M117" s="42" t="str">
        <x:v>未开始</x:v>
      </x:c>
      <x:c r="N117" s="56" t="n">
        <x:v>0</x:v>
      </x:c>
      <x:c r="O117" s="42" t="str">
        <x:v>开发者可定位模块并新增规则</x:v>
      </x:c>
      <x:c r="P117" s="42" t="str">
        <x:v>内部评审</x:v>
      </x:c>
      <x:c r="Q117" s="43" t="str"/>
    </x:row>
    <x:row r="118">
      <x:c r="A118" s="41" t="str">
        <x:v>P7-011</x:v>
      </x:c>
      <x:c r="B118" s="42" t="str">
        <x:v>P7 稳定与发布</x:v>
      </x:c>
      <x:c r="C118" s="42" t="str">
        <x:v>测试</x:v>
      </x:c>
      <x:c r="D118" s="42" t="str">
        <x:v>完成端到端回归</x:v>
      </x:c>
      <x:c r="E118" s="42" t="str">
        <x:v>覆盖采集、导入、解析、展示、规则、导出、恢复。</x:v>
      </x:c>
      <x:c r="F118" s="42" t="str">
        <x:v>E2E Test Report</x:v>
      </x:c>
      <x:c r="G118" s="42" t="str">
        <x:v>P0</x:v>
      </x:c>
      <x:c r="H118" s="42" t="str">
        <x:v>未分配</x:v>
      </x:c>
      <x:c r="I118" s="42" t="n">
        <x:v>16</x:v>
      </x:c>
      <x:c r="J118" s="42" t="n">
        <x:v>16</x:v>
      </x:c>
      <x:c r="K118" s="42" t="n">
        <x:v>1.25</x:v>
      </x:c>
      <x:c r="L118" s="42" t="str">
        <x:v>P7-001:P7-010</x:v>
      </x:c>
      <x:c r="M118" s="42" t="str">
        <x:v>未开始</x:v>
      </x:c>
      <x:c r="N118" s="56" t="n">
        <x:v>0</x:v>
      </x:c>
      <x:c r="O118" s="42" t="str">
        <x:v>P0/P1级缺陷清零，核心场景通过</x:v>
      </x:c>
      <x:c r="P118" s="42" t="str">
        <x:v>回归矩阵</x:v>
      </x:c>
      <x:c r="Q118" s="43" t="str"/>
    </x:row>
    <x:row r="119">
      <x:c r="A119" s="44" t="str">
        <x:v>P7-012</x:v>
      </x:c>
      <x:c r="B119" s="45" t="str">
        <x:v>P7 稳定与发布</x:v>
      </x:c>
      <x:c r="C119" s="45" t="str">
        <x:v>发布</x:v>
      </x:c>
      <x:c r="D119" s="45" t="str">
        <x:v>执行Release Checklist</x:v>
      </x:c>
      <x:c r="E119" s="45" t="str">
        <x:v>版本号、变更日志、哈希、安装包、已知问题。</x:v>
      </x:c>
      <x:c r="F119" s="45" t="str">
        <x:v>V0.1 Release</x:v>
      </x:c>
      <x:c r="G119" s="45" t="str">
        <x:v>P0</x:v>
      </x:c>
      <x:c r="H119" s="45" t="str">
        <x:v>未分配</x:v>
      </x:c>
      <x:c r="I119" s="45" t="n">
        <x:v>16</x:v>
      </x:c>
      <x:c r="J119" s="45" t="n">
        <x:v>16</x:v>
      </x:c>
      <x:c r="K119" s="45" t="n">
        <x:v>0.75</x:v>
      </x:c>
      <x:c r="L119" s="45" t="str">
        <x:v>P7-011</x:v>
      </x:c>
      <x:c r="M119" s="45" t="str">
        <x:v>未开始</x:v>
      </x:c>
      <x:c r="N119" s="57" t="n">
        <x:v>0</x:v>
      </x:c>
      <x:c r="O119" s="45" t="str">
        <x:v>发布物完整且可回滚</x:v>
      </x:c>
      <x:c r="P119" s="45" t="str">
        <x:v>发布演练</x:v>
      </x:c>
      <x:c r="Q119" s="46" t="str"/>
    </x:row>
  </x:sheetData>
  <x:mergeCells>
    <x:mergeCell ref="A1:Q1"/>
  </x:mergeCells>
  <x:conditionalFormatting sqref="N3:N119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{C9082FF7-40BF-9F00-2B3A-6F02FE0F91B9}</x14:id>
        </x:ext>
      </x:extLst>
    </x:cfRule>
  </x:conditionalFormatting>
  <x:conditionalFormatting sqref="M3:M119">
    <x:cfRule type="expression" dxfId="0" priority="2">
      <x:formula>M3="已完成"</x:formula>
    </x:cfRule>
    <x:cfRule type="expression" dxfId="1" priority="3">
      <x:formula>M3="阻塞"</x:formula>
    </x:cfRule>
    <x:cfRule type="expression" dxfId="2" priority="4">
      <x:formula>M3="进行中"</x:formula>
    </x:cfRule>
  </x:conditionalFormatting>
  <x:dataValidations count="4">
    <x:dataValidation type="list" sqref="G3:G119">
      <x:formula1>"P0,P1,P2,P3"</x:formula1>
    </x:dataValidation>
    <x:dataValidation type="list" sqref="H3:H119">
      <x:formula1>"未分配,开发A,开发B,测试,技术负责人"</x:formula1>
    </x:dataValidation>
    <x:dataValidation type="list" sqref="M3:M119">
      <x:formula1>"未开始,进行中,阻塞,待验收,已完成,已取消"</x:formula1>
    </x:dataValidation>
    <x:dataValidation type="decimal" operator="between" sqref="N3:N119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ad5ece448dc44c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9082FF7-40BF-9F00-2B3A-6F02FE0F91B9}">
            <x14:dataBar gradient="1">
              <x14:cfvo type="min"/>
              <x14:cfvo type="max"/>
              <x14:fillColor rgb="FF4F81BD"/>
            </x14:dataBar>
          </x14:cfRule>
          <xm:sqref>N3:N119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24" hidden="0" customWidth="1"/>
    <x:col min="5" max="5" width="38" hidden="0" customWidth="1"/>
    <x:col min="6" max="6" width="10" hidden="0" customWidth="1"/>
    <x:col min="7" max="7" width="9" hidden="0" customWidth="1"/>
    <x:col min="8" max="8" width="9" hidden="0" customWidth="1"/>
    <x:col min="9" max="9" width="18" hidden="0" customWidth="1"/>
    <x:col min="10" max="10" width="34" hidden="0" customWidth="1"/>
    <x:col min="11" max="11" width="26" hidden="0" customWidth="1"/>
    <x:col min="12" max="12" width="11" hidden="0" customWidth="1"/>
    <x:col min="13" max="13" width="12" hidden="0" customWidth="1"/>
    <x:col min="14" max="14" width="18" hidden="0" customWidth="1"/>
  </x:cols>
  <x:sheetData>
    <x:row r="1" ht="28" customHeight="1">
      <x:c r="A1" s="5" t="str">
        <x:v>详细功能清单 / Product Backlog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38" t="str">
        <x:v>功能ID</x:v>
      </x:c>
      <x:c r="B2" s="39" t="str">
        <x:v>一级模块</x:v>
      </x:c>
      <x:c r="C2" s="39" t="str">
        <x:v>二级模块</x:v>
      </x:c>
      <x:c r="D2" s="39" t="str">
        <x:v>功能名称</x:v>
      </x:c>
      <x:c r="E2" s="39" t="str">
        <x:v>功能说明</x:v>
      </x:c>
      <x:c r="F2" s="39" t="str">
        <x:v>目标版本</x:v>
      </x:c>
      <x:c r="G2" s="39" t="str">
        <x:v>优先级</x:v>
      </x:c>
      <x:c r="H2" s="39" t="str">
        <x:v>复杂度</x:v>
      </x:c>
      <x:c r="I2" s="39" t="str">
        <x:v>依赖任务</x:v>
      </x:c>
      <x:c r="J2" s="39" t="str">
        <x:v>验收标准</x:v>
      </x:c>
      <x:c r="K2" s="39" t="str">
        <x:v>测试重点</x:v>
      </x:c>
      <x:c r="L2" s="39" t="str">
        <x:v>状态</x:v>
      </x:c>
      <x:c r="M2" s="39" t="str">
        <x:v>负责人</x:v>
      </x:c>
      <x:c r="N2" s="40" t="str">
        <x:v>备注</x:v>
      </x:c>
    </x:row>
    <x:row r="3">
      <x:c r="A3" s="41" t="str">
        <x:v>DEV-001</x:v>
      </x:c>
      <x:c r="B3" s="42" t="str">
        <x:v>设备管理</x:v>
      </x:c>
      <x:c r="C3" s="42" t="str">
        <x:v>ADB</x:v>
      </x:c>
      <x:c r="D3" s="42" t="str">
        <x:v>ADB路径自动发现</x:v>
      </x:c>
      <x:c r="E3" s="42" t="str">
        <x:v>从PATH、用户配置中定位adb并验证版本。</x:v>
      </x:c>
      <x:c r="F3" s="42" t="str">
        <x:v>V0.1</x:v>
      </x:c>
      <x:c r="G3" s="42" t="str">
        <x:v>P0</x:v>
      </x:c>
      <x:c r="H3" s="42" t="str">
        <x:v>S</x:v>
      </x:c>
      <x:c r="I3" s="42" t="str">
        <x:v>P2-001</x:v>
      </x:c>
      <x:c r="J3" s="42" t="str">
        <x:v>无ADB时提供明确配置入口</x:v>
      </x:c>
      <x:c r="K3" s="42" t="str">
        <x:v>路径带空格、无权限、版本异常</x:v>
      </x:c>
      <x:c r="L3" s="42" t="str">
        <x:v>未开始</x:v>
      </x:c>
      <x:c r="M3" s="42" t="str">
        <x:v>未分配</x:v>
      </x:c>
      <x:c r="N3" s="43" t="str"/>
    </x:row>
    <x:row r="4">
      <x:c r="A4" s="41" t="str">
        <x:v>DEV-002</x:v>
      </x:c>
      <x:c r="B4" s="42" t="str">
        <x:v>设备管理</x:v>
      </x:c>
      <x:c r="C4" s="42" t="str">
        <x:v>设备列表</x:v>
      </x:c>
      <x:c r="D4" s="42" t="str">
        <x:v>USB设备发现</x:v>
      </x:c>
      <x:c r="E4" s="42" t="str">
        <x:v>展示serial、model和连接状态。</x:v>
      </x:c>
      <x:c r="F4" s="42" t="str">
        <x:v>V0.1</x:v>
      </x:c>
      <x:c r="G4" s="42" t="str">
        <x:v>P0</x:v>
      </x:c>
      <x:c r="H4" s="42" t="str">
        <x:v>M</x:v>
      </x:c>
      <x:c r="I4" s="42" t="str">
        <x:v>P2-002</x:v>
      </x:c>
      <x:c r="J4" s="42" t="str">
        <x:v>插拔后自动更新且保留选择</x:v>
      </x:c>
      <x:c r="K4" s="42" t="str">
        <x:v>device/offline/unauthorized</x:v>
      </x:c>
      <x:c r="L4" s="42" t="str">
        <x:v>未开始</x:v>
      </x:c>
      <x:c r="M4" s="42" t="str">
        <x:v>未分配</x:v>
      </x:c>
      <x:c r="N4" s="43" t="str"/>
    </x:row>
    <x:row r="5">
      <x:c r="A5" s="41" t="str">
        <x:v>DEV-003</x:v>
      </x:c>
      <x:c r="B5" s="42" t="str">
        <x:v>设备管理</x:v>
      </x:c>
      <x:c r="C5" s="42" t="str">
        <x:v>设备列表</x:v>
      </x:c>
      <x:c r="D5" s="42" t="str">
        <x:v>无线ADB连接</x:v>
      </x:c>
      <x:c r="E5" s="42" t="str">
        <x:v>手动输入host:port进行连接和断开。</x:v>
      </x:c>
      <x:c r="F5" s="42" t="str">
        <x:v>V0.1</x:v>
      </x:c>
      <x:c r="G5" s="42" t="str">
        <x:v>P2</x:v>
      </x:c>
      <x:c r="H5" s="42" t="str">
        <x:v>S</x:v>
      </x:c>
      <x:c r="I5" s="42" t="str">
        <x:v>P2-003</x:v>
      </x:c>
      <x:c r="J5" s="42" t="str">
        <x:v>连接结果可见并有错误提示</x:v>
      </x:c>
      <x:c r="K5" s="42" t="str">
        <x:v>网络不可达、认证失败</x:v>
      </x:c>
      <x:c r="L5" s="42" t="str">
        <x:v>未开始</x:v>
      </x:c>
      <x:c r="M5" s="42" t="str">
        <x:v>未分配</x:v>
      </x:c>
      <x:c r="N5" s="43" t="str"/>
    </x:row>
    <x:row r="6">
      <x:c r="A6" s="41" t="str">
        <x:v>DEV-004</x:v>
      </x:c>
      <x:c r="B6" s="42" t="str">
        <x:v>设备管理</x:v>
      </x:c>
      <x:c r="C6" s="42" t="str">
        <x:v>设备信息</x:v>
      </x:c>
      <x:c r="D6" s="42" t="str">
        <x:v>读取系统属性</x:v>
      </x:c>
      <x:c r="E6" s="42" t="str">
        <x:v>展示SDK、ABI、Build type、fingerprint。</x:v>
      </x:c>
      <x:c r="F6" s="42" t="str">
        <x:v>V0.1</x:v>
      </x:c>
      <x:c r="G6" s="42" t="str">
        <x:v>P0</x:v>
      </x:c>
      <x:c r="H6" s="42" t="str">
        <x:v>S</x:v>
      </x:c>
      <x:c r="I6" s="42" t="str">
        <x:v>P2-004</x:v>
      </x:c>
      <x:c r="J6" s="42" t="str">
        <x:v>字段缺失时不崩溃</x:v>
      </x:c>
      <x:c r="K6" s="42" t="str">
        <x:v>不同OEM输出差异</x:v>
      </x:c>
      <x:c r="L6" s="42" t="str">
        <x:v>未开始</x:v>
      </x:c>
      <x:c r="M6" s="42" t="str">
        <x:v>未分配</x:v>
      </x:c>
      <x:c r="N6" s="43" t="str"/>
    </x:row>
    <x:row r="7">
      <x:c r="A7" s="41" t="str">
        <x:v>DEV-005</x:v>
      </x:c>
      <x:c r="B7" s="42" t="str">
        <x:v>设备管理</x:v>
      </x:c>
      <x:c r="C7" s="42" t="str">
        <x:v>权限</x:v>
      </x:c>
      <x:c r="D7" s="42" t="str">
        <x:v>Root状态检测</x:v>
      </x:c>
      <x:c r="E7" s="42" t="str">
        <x:v>识别adbd root能力和当前shell权限。</x:v>
      </x:c>
      <x:c r="F7" s="42" t="str">
        <x:v>V0.1</x:v>
      </x:c>
      <x:c r="G7" s="42" t="str">
        <x:v>P1</x:v>
      </x:c>
      <x:c r="H7" s="42" t="str">
        <x:v>S</x:v>
      </x:c>
      <x:c r="I7" s="42" t="str">
        <x:v>P2-004</x:v>
      </x:c>
      <x:c r="J7" s="42" t="str">
        <x:v>能力矩阵准确说明限制</x:v>
      </x:c>
      <x:c r="K7" s="42" t="str">
        <x:v>user/userdebug/eng</x:v>
      </x:c>
      <x:c r="L7" s="42" t="str">
        <x:v>未开始</x:v>
      </x:c>
      <x:c r="M7" s="42" t="str">
        <x:v>未分配</x:v>
      </x:c>
      <x:c r="N7" s="43" t="str"/>
    </x:row>
    <x:row r="8">
      <x:c r="A8" s="41" t="str">
        <x:v>DEV-006</x:v>
      </x:c>
      <x:c r="B8" s="42" t="str">
        <x:v>设备管理</x:v>
      </x:c>
      <x:c r="C8" s="42" t="str">
        <x:v>权限</x:v>
      </x:c>
      <x:c r="D8" s="42" t="str">
        <x:v>SELinux状态检测</x:v>
      </x:c>
      <x:c r="E8" s="42" t="str">
        <x:v>展示Enforcing/Permissive并用于风险提示。</x:v>
      </x:c>
      <x:c r="F8" s="42" t="str">
        <x:v>V0.1</x:v>
      </x:c>
      <x:c r="G8" s="42" t="str">
        <x:v>P1</x:v>
      </x:c>
      <x:c r="H8" s="42" t="str">
        <x:v>S</x:v>
      </x:c>
      <x:c r="I8" s="42" t="str">
        <x:v>P2-004</x:v>
      </x:c>
      <x:c r="J8" s="42" t="str">
        <x:v>无法读取时标记未知</x:v>
      </x:c>
      <x:c r="K8" s="42" t="str">
        <x:v>权限受限设备</x:v>
      </x:c>
      <x:c r="L8" s="42" t="str">
        <x:v>未开始</x:v>
      </x:c>
      <x:c r="M8" s="42" t="str">
        <x:v>未分配</x:v>
      </x:c>
      <x:c r="N8" s="43" t="str"/>
    </x:row>
    <x:row r="9">
      <x:c r="A9" s="41" t="str">
        <x:v>DEV-007</x:v>
      </x:c>
      <x:c r="B9" s="42" t="str">
        <x:v>设备管理</x:v>
      </x:c>
      <x:c r="C9" s="42" t="str">
        <x:v>Simpleperf</x:v>
      </x:c>
      <x:c r="D9" s="42" t="str">
        <x:v>Simpleperf路径探测</x:v>
      </x:c>
      <x:c r="E9" s="42" t="str">
        <x:v>优先系统版本，支持客户端内置版本。</x:v>
      </x:c>
      <x:c r="F9" s="42" t="str">
        <x:v>V0.1</x:v>
      </x:c>
      <x:c r="G9" s="42" t="str">
        <x:v>P0</x:v>
      </x:c>
      <x:c r="H9" s="42" t="str">
        <x:v>M</x:v>
      </x:c>
      <x:c r="I9" s="42" t="str">
        <x:v>P2-004</x:v>
      </x:c>
      <x:c r="J9" s="42" t="str">
        <x:v>架构匹配且可执行</x:v>
      </x:c>
      <x:c r="K9" s="42" t="str">
        <x:v>四种ABI</x:v>
      </x:c>
      <x:c r="L9" s="42" t="str">
        <x:v>未开始</x:v>
      </x:c>
      <x:c r="M9" s="42" t="str">
        <x:v>未分配</x:v>
      </x:c>
      <x:c r="N9" s="43" t="str"/>
    </x:row>
    <x:row r="10">
      <x:c r="A10" s="41" t="str">
        <x:v>DEV-008</x:v>
      </x:c>
      <x:c r="B10" s="42" t="str">
        <x:v>设备管理</x:v>
      </x:c>
      <x:c r="C10" s="42" t="str">
        <x:v>Simpleperf</x:v>
      </x:c>
      <x:c r="D10" s="42" t="str">
        <x:v>事件与Feature探测</x:v>
      </x:c>
      <x:c r="E10" s="42" t="str">
        <x:v>解析simpleperf list和features。</x:v>
      </x:c>
      <x:c r="F10" s="42" t="str">
        <x:v>V0.1</x:v>
      </x:c>
      <x:c r="G10" s="42" t="str">
        <x:v>P0</x:v>
      </x:c>
      <x:c r="H10" s="42" t="str">
        <x:v>M</x:v>
      </x:c>
      <x:c r="I10" s="42" t="str">
        <x:v>P2-004</x:v>
      </x:c>
      <x:c r="J10" s="42" t="str">
        <x:v>不可用项不能被选择</x:v>
      </x:c>
      <x:c r="K10" s="42" t="str">
        <x:v>硬件/软件事件差异</x:v>
      </x:c>
      <x:c r="L10" s="42" t="str">
        <x:v>未开始</x:v>
      </x:c>
      <x:c r="M10" s="42" t="str">
        <x:v>未分配</x:v>
      </x:c>
      <x:c r="N10" s="43" t="str"/>
    </x:row>
    <x:row r="11">
      <x:c r="A11" s="41" t="str">
        <x:v>DEV-009</x:v>
      </x:c>
      <x:c r="B11" s="42" t="str">
        <x:v>设备管理</x:v>
      </x:c>
      <x:c r="C11" s="42" t="str">
        <x:v>进程</x:v>
      </x:c>
      <x:c r="D11" s="42" t="str">
        <x:v>进程列表</x:v>
      </x:c>
      <x:c r="E11" s="42" t="str">
        <x:v>显示PID、用户、进程名、包关联。</x:v>
      </x:c>
      <x:c r="F11" s="42" t="str">
        <x:v>V0.1</x:v>
      </x:c>
      <x:c r="G11" s="42" t="str">
        <x:v>P0</x:v>
      </x:c>
      <x:c r="H11" s="42" t="str">
        <x:v>M</x:v>
      </x:c>
      <x:c r="I11" s="42" t="str">
        <x:v>P2-005</x:v>
      </x:c>
      <x:c r="J11" s="42" t="str">
        <x:v>支持搜索和刷新</x:v>
      </x:c>
      <x:c r="K11" s="42" t="str">
        <x:v>同名进程、多进程包</x:v>
      </x:c>
      <x:c r="L11" s="42" t="str">
        <x:v>未开始</x:v>
      </x:c>
      <x:c r="M11" s="42" t="str">
        <x:v>未分配</x:v>
      </x:c>
      <x:c r="N11" s="43" t="str"/>
    </x:row>
    <x:row r="12">
      <x:c r="A12" s="41" t="str">
        <x:v>DEV-010</x:v>
      </x:c>
      <x:c r="B12" s="42" t="str">
        <x:v>设备管理</x:v>
      </x:c>
      <x:c r="C12" s="42" t="str">
        <x:v>线程</x:v>
      </x:c>
      <x:c r="D12" s="42" t="str">
        <x:v>线程列表</x:v>
      </x:c>
      <x:c r="E12" s="42" t="str">
        <x:v>显示TID和线程名并支持多选。</x:v>
      </x:c>
      <x:c r="F12" s="42" t="str">
        <x:v>V0.1</x:v>
      </x:c>
      <x:c r="G12" s="42" t="str">
        <x:v>P1</x:v>
      </x:c>
      <x:c r="H12" s="42" t="str">
        <x:v>M</x:v>
      </x:c>
      <x:c r="I12" s="42" t="str">
        <x:v>P2-006</x:v>
      </x:c>
      <x:c r="J12" s="42" t="str">
        <x:v>线程消失时安全刷新</x:v>
      </x:c>
      <x:c r="K12" s="42" t="str">
        <x:v>高频创建销毁线程</x:v>
      </x:c>
      <x:c r="L12" s="42" t="str">
        <x:v>未开始</x:v>
      </x:c>
      <x:c r="M12" s="42" t="str">
        <x:v>未分配</x:v>
      </x:c>
      <x:c r="N12" s="43" t="str"/>
    </x:row>
    <x:row r="13">
      <x:c r="A13" s="41" t="str">
        <x:v>DEV-011</x:v>
      </x:c>
      <x:c r="B13" s="42" t="str">
        <x:v>设备管理</x:v>
      </x:c>
      <x:c r="C13" s="42" t="str">
        <x:v>应用</x:v>
      </x:c>
      <x:c r="D13" s="42" t="str">
        <x:v>包列表</x:v>
      </x:c>
      <x:c r="E13" s="42" t="str">
        <x:v>列出已安装应用和运行状态。</x:v>
      </x:c>
      <x:c r="F13" s="42" t="str">
        <x:v>V0.1</x:v>
      </x:c>
      <x:c r="G13" s="42" t="str">
        <x:v>P1</x:v>
      </x:c>
      <x:c r="H13" s="42" t="str">
        <x:v>M</x:v>
      </x:c>
      <x:c r="I13" s="42" t="str">
        <x:v>P2-007</x:v>
      </x:c>
      <x:c r="J13" s="42" t="str">
        <x:v>选择包可解析到进程或提示未运行</x:v>
      </x:c>
      <x:c r="K13" s="42" t="str">
        <x:v>多用户、工作资料</x:v>
      </x:c>
      <x:c r="L13" s="42" t="str">
        <x:v>未开始</x:v>
      </x:c>
      <x:c r="M13" s="42" t="str">
        <x:v>未分配</x:v>
      </x:c>
      <x:c r="N13" s="43" t="str"/>
    </x:row>
    <x:row r="14">
      <x:c r="A14" s="41" t="str">
        <x:v>DEV-012</x:v>
      </x:c>
      <x:c r="B14" s="42" t="str">
        <x:v>设备管理</x:v>
      </x:c>
      <x:c r="C14" s="42" t="str">
        <x:v>应用</x:v>
      </x:c>
      <x:c r="D14" s="42" t="str">
        <x:v>Debuggable/Profileable提示</x:v>
      </x:c>
      <x:c r="E14" s="42" t="str">
        <x:v>标记应用采样能力和限制。</x:v>
      </x:c>
      <x:c r="F14" s="42" t="str">
        <x:v>V0.1</x:v>
      </x:c>
      <x:c r="G14" s="42" t="str">
        <x:v>P1</x:v>
      </x:c>
      <x:c r="H14" s="42" t="str">
        <x:v>M</x:v>
      </x:c>
      <x:c r="I14" s="42" t="str">
        <x:v>P2-007</x:v>
      </x:c>
      <x:c r="J14" s="42" t="str">
        <x:v>判断失败时不做错误承诺</x:v>
      </x:c>
      <x:c r="K14" s="42" t="str">
        <x:v>release/profileable应用</x:v>
      </x:c>
      <x:c r="L14" s="42" t="str">
        <x:v>未开始</x:v>
      </x:c>
      <x:c r="M14" s="42" t="str">
        <x:v>未分配</x:v>
      </x:c>
      <x:c r="N14" s="43" t="str"/>
    </x:row>
    <x:row r="15">
      <x:c r="A15" s="41" t="str">
        <x:v>CAP-001</x:v>
      </x:c>
      <x:c r="B15" s="42" t="str">
        <x:v>采集</x:v>
      </x:c>
      <x:c r="C15" s="42" t="str">
        <x:v>目标</x:v>
      </x:c>
      <x:c r="D15" s="42" t="str">
        <x:v>按PID采集</x:v>
      </x:c>
      <x:c r="E15" s="42" t="str">
        <x:v>选择单个PID作为目标。</x:v>
      </x:c>
      <x:c r="F15" s="42" t="str">
        <x:v>V0.1</x:v>
      </x:c>
      <x:c r="G15" s="42" t="str">
        <x:v>P0</x:v>
      </x:c>
      <x:c r="H15" s="42" t="str">
        <x:v>S</x:v>
      </x:c>
      <x:c r="I15" s="42" t="str">
        <x:v>P2-008</x:v>
      </x:c>
      <x:c r="J15" s="42" t="str">
        <x:v>命令参数准确且目标退出有提示</x:v>
      </x:c>
      <x:c r="K15" s="42" t="str">
        <x:v>PID复用、进程退出</x:v>
      </x:c>
      <x:c r="L15" s="42" t="str">
        <x:v>未开始</x:v>
      </x:c>
      <x:c r="M15" s="42" t="str">
        <x:v>未分配</x:v>
      </x:c>
      <x:c r="N15" s="43" t="str"/>
    </x:row>
    <x:row r="16">
      <x:c r="A16" s="41" t="str">
        <x:v>CAP-002</x:v>
      </x:c>
      <x:c r="B16" s="42" t="str">
        <x:v>采集</x:v>
      </x:c>
      <x:c r="C16" s="42" t="str">
        <x:v>目标</x:v>
      </x:c>
      <x:c r="D16" s="42" t="str">
        <x:v>按进程名采集</x:v>
      </x:c>
      <x:c r="E16" s="42" t="str">
        <x:v>选择进程名并解析当前PID。</x:v>
      </x:c>
      <x:c r="F16" s="42" t="str">
        <x:v>V0.1</x:v>
      </x:c>
      <x:c r="G16" s="42" t="str">
        <x:v>P1</x:v>
      </x:c>
      <x:c r="H16" s="42" t="str">
        <x:v>M</x:v>
      </x:c>
      <x:c r="I16" s="42" t="str">
        <x:v>P2-008</x:v>
      </x:c>
      <x:c r="J16" s="42" t="str">
        <x:v>多匹配时要求用户选择</x:v>
      </x:c>
      <x:c r="K16" s="42" t="str">
        <x:v>同名进程</x:v>
      </x:c>
      <x:c r="L16" s="42" t="str">
        <x:v>未开始</x:v>
      </x:c>
      <x:c r="M16" s="42" t="str">
        <x:v>未分配</x:v>
      </x:c>
      <x:c r="N16" s="43" t="str"/>
    </x:row>
    <x:row r="17">
      <x:c r="A17" s="41" t="str">
        <x:v>CAP-003</x:v>
      </x:c>
      <x:c r="B17" s="42" t="str">
        <x:v>采集</x:v>
      </x:c>
      <x:c r="C17" s="42" t="str">
        <x:v>目标</x:v>
      </x:c>
      <x:c r="D17" s="42" t="str">
        <x:v>按包名采集</x:v>
      </x:c>
      <x:c r="E17" s="42" t="str">
        <x:v>以应用包为入口选择主/子进程。</x:v>
      </x:c>
      <x:c r="F17" s="42" t="str">
        <x:v>V0.1</x:v>
      </x:c>
      <x:c r="G17" s="42" t="str">
        <x:v>P0</x:v>
      </x:c>
      <x:c r="H17" s="42" t="str">
        <x:v>M</x:v>
      </x:c>
      <x:c r="I17" s="42" t="str">
        <x:v>P2-008</x:v>
      </x:c>
      <x:c r="J17" s="42" t="str">
        <x:v>未运行时提示启动方式</x:v>
      </x:c>
      <x:c r="K17" s="42" t="str">
        <x:v>冷启动与已运行</x:v>
      </x:c>
      <x:c r="L17" s="42" t="str">
        <x:v>未开始</x:v>
      </x:c>
      <x:c r="M17" s="42" t="str">
        <x:v>未分配</x:v>
      </x:c>
      <x:c r="N17" s="43" t="str"/>
    </x:row>
    <x:row r="18">
      <x:c r="A18" s="41" t="str">
        <x:v>CAP-004</x:v>
      </x:c>
      <x:c r="B18" s="42" t="str">
        <x:v>采集</x:v>
      </x:c>
      <x:c r="C18" s="42" t="str">
        <x:v>目标</x:v>
      </x:c>
      <x:c r="D18" s="42" t="str">
        <x:v>按线程采集</x:v>
      </x:c>
      <x:c r="E18" s="42" t="str">
        <x:v>对指定TID集合采集。</x:v>
      </x:c>
      <x:c r="F18" s="42" t="str">
        <x:v>V0.1</x:v>
      </x:c>
      <x:c r="G18" s="42" t="str">
        <x:v>P1</x:v>
      </x:c>
      <x:c r="H18" s="42" t="str">
        <x:v>M</x:v>
      </x:c>
      <x:c r="I18" s="42" t="str">
        <x:v>P2-008</x:v>
      </x:c>
      <x:c r="J18" s="42" t="str">
        <x:v>线程列表变化时给出警告</x:v>
      </x:c>
      <x:c r="K18" s="42" t="str">
        <x:v>线程退出</x:v>
      </x:c>
      <x:c r="L18" s="42" t="str">
        <x:v>未开始</x:v>
      </x:c>
      <x:c r="M18" s="42" t="str">
        <x:v>未分配</x:v>
      </x:c>
      <x:c r="N18" s="43" t="str"/>
    </x:row>
    <x:row r="19">
      <x:c r="A19" s="41" t="str">
        <x:v>CAP-005</x:v>
      </x:c>
      <x:c r="B19" s="42" t="str">
        <x:v>采集</x:v>
      </x:c>
      <x:c r="C19" s="42" t="str">
        <x:v>目标</x:v>
      </x:c>
      <x:c r="D19" s="42" t="str">
        <x:v>System-wide采集</x:v>
      </x:c>
      <x:c r="E19" s="42" t="str">
        <x:v>在能力允许时提供全系统采集。</x:v>
      </x:c>
      <x:c r="F19" s="42" t="str">
        <x:v>V0.1</x:v>
      </x:c>
      <x:c r="G19" s="42" t="str">
        <x:v>P2</x:v>
      </x:c>
      <x:c r="H19" s="42" t="str">
        <x:v>L</x:v>
      </x:c>
      <x:c r="I19" s="42" t="str">
        <x:v>P2-008,P2-012</x:v>
      </x:c>
      <x:c r="J19" s="42" t="str">
        <x:v>无权限时明确禁用</x:v>
      </x:c>
      <x:c r="K19" s="42" t="str">
        <x:v>root/SELinux</x:v>
      </x:c>
      <x:c r="L19" s="42" t="str">
        <x:v>未开始</x:v>
      </x:c>
      <x:c r="M19" s="42" t="str">
        <x:v>未分配</x:v>
      </x:c>
      <x:c r="N19" s="43" t="str"/>
    </x:row>
    <x:row r="20">
      <x:c r="A20" s="41" t="str">
        <x:v>CAP-006</x:v>
      </x:c>
      <x:c r="B20" s="42" t="str">
        <x:v>采集</x:v>
      </x:c>
      <x:c r="C20" s="42" t="str">
        <x:v>事件</x:v>
      </x:c>
      <x:c r="D20" s="42" t="str">
        <x:v>事件选择器</x:v>
      </x:c>
      <x:c r="E20" s="42" t="str">
        <x:v>按设备能力选择cpu-clock、cycles等。</x:v>
      </x:c>
      <x:c r="F20" s="42" t="str">
        <x:v>V0.1</x:v>
      </x:c>
      <x:c r="G20" s="42" t="str">
        <x:v>P0</x:v>
      </x:c>
      <x:c r="H20" s="42" t="str">
        <x:v>M</x:v>
      </x:c>
      <x:c r="I20" s="42" t="str">
        <x:v>P2-009</x:v>
      </x:c>
      <x:c r="J20" s="42" t="str">
        <x:v>事件名称和修饰符保留</x:v>
      </x:c>
      <x:c r="K20" s="42" t="str">
        <x:v>不可用事件、PMU多路复用</x:v>
      </x:c>
      <x:c r="L20" s="42" t="str">
        <x:v>未开始</x:v>
      </x:c>
      <x:c r="M20" s="42" t="str">
        <x:v>未分配</x:v>
      </x:c>
      <x:c r="N20" s="43" t="str"/>
    </x:row>
    <x:row r="21">
      <x:c r="A21" s="41" t="str">
        <x:v>CAP-007</x:v>
      </x:c>
      <x:c r="B21" s="42" t="str">
        <x:v>采集</x:v>
      </x:c>
      <x:c r="C21" s="42" t="str">
        <x:v>参数</x:v>
      </x:c>
      <x:c r="D21" s="42" t="str">
        <x:v>采样频率</x:v>
      </x:c>
      <x:c r="E21" s="42" t="str">
        <x:v>配置-f并校验范围。</x:v>
      </x:c>
      <x:c r="F21" s="42" t="str">
        <x:v>V0.1</x:v>
      </x:c>
      <x:c r="G21" s="42" t="str">
        <x:v>P0</x:v>
      </x:c>
      <x:c r="H21" s="42" t="str">
        <x:v>S</x:v>
      </x:c>
      <x:c r="I21" s="42" t="str">
        <x:v>P2-011</x:v>
      </x:c>
      <x:c r="J21" s="42" t="str">
        <x:v>非法值不可开始</x:v>
      </x:c>
      <x:c r="K21" s="42" t="str">
        <x:v>极高频率</x:v>
      </x:c>
      <x:c r="L21" s="42" t="str">
        <x:v>未开始</x:v>
      </x:c>
      <x:c r="M21" s="42" t="str">
        <x:v>未分配</x:v>
      </x:c>
      <x:c r="N21" s="43" t="str"/>
    </x:row>
    <x:row r="22">
      <x:c r="A22" s="41" t="str">
        <x:v>CAP-008</x:v>
      </x:c>
      <x:c r="B22" s="42" t="str">
        <x:v>采集</x:v>
      </x:c>
      <x:c r="C22" s="42" t="str">
        <x:v>参数</x:v>
      </x:c>
      <x:c r="D22" s="42" t="str">
        <x:v>采集时长</x:v>
      </x:c>
      <x:c r="E22" s="42" t="str">
        <x:v>支持固定时长和手动停止。</x:v>
      </x:c>
      <x:c r="F22" s="42" t="str">
        <x:v>V0.1</x:v>
      </x:c>
      <x:c r="G22" s="42" t="str">
        <x:v>P0</x:v>
      </x:c>
      <x:c r="H22" s="42" t="str">
        <x:v>S</x:v>
      </x:c>
      <x:c r="I22" s="42" t="str">
        <x:v>P2-011</x:v>
      </x:c>
      <x:c r="J22" s="42" t="str">
        <x:v>倒计时和状态一致</x:v>
      </x:c>
      <x:c r="K22" s="42" t="str">
        <x:v>系统休眠、应用退出</x:v>
      </x:c>
      <x:c r="L22" s="42" t="str">
        <x:v>未开始</x:v>
      </x:c>
      <x:c r="M22" s="42" t="str">
        <x:v>未分配</x:v>
      </x:c>
      <x:c r="N22" s="43" t="str"/>
    </x:row>
    <x:row r="23">
      <x:c r="A23" s="41" t="str">
        <x:v>CAP-009</x:v>
      </x:c>
      <x:c r="B23" s="42" t="str">
        <x:v>采集</x:v>
      </x:c>
      <x:c r="C23" s="42" t="str">
        <x:v>参数</x:v>
      </x:c>
      <x:c r="D23" s="42" t="str">
        <x:v>Call Graph模式</x:v>
      </x:c>
      <x:c r="E23" s="42" t="str">
        <x:v>支持DWARF、Frame Pointer、关闭。</x:v>
      </x:c>
      <x:c r="F23" s="42" t="str">
        <x:v>V0.1</x:v>
      </x:c>
      <x:c r="G23" s="42" t="str">
        <x:v>P0</x:v>
      </x:c>
      <x:c r="H23" s="42" t="str">
        <x:v>M</x:v>
      </x:c>
      <x:c r="I23" s="42" t="str">
        <x:v>P2-011</x:v>
      </x:c>
      <x:c r="J23" s="42" t="str">
        <x:v>能力不足时给出警告</x:v>
      </x:c>
      <x:c r="K23" s="42" t="str">
        <x:v>栈截断、开销</x:v>
      </x:c>
      <x:c r="L23" s="42" t="str">
        <x:v>未开始</x:v>
      </x:c>
      <x:c r="M23" s="42" t="str">
        <x:v>未分配</x:v>
      </x:c>
      <x:c r="N23" s="43" t="str"/>
    </x:row>
    <x:row r="24">
      <x:c r="A24" s="41" t="str">
        <x:v>CAP-010</x:v>
      </x:c>
      <x:c r="B24" s="42" t="str">
        <x:v>采集</x:v>
      </x:c>
      <x:c r="C24" s="42" t="str">
        <x:v>参数</x:v>
      </x:c>
      <x:c r="D24" s="42" t="str">
        <x:v>用户态/内核态过滤</x:v>
      </x:c>
      <x:c r="E24" s="42" t="str">
        <x:v>支持:u/:k和Include Kernel。</x:v>
      </x:c>
      <x:c r="F24" s="42" t="str">
        <x:v>V0.1</x:v>
      </x:c>
      <x:c r="G24" s="42" t="str">
        <x:v>P1</x:v>
      </x:c>
      <x:c r="H24" s="42" t="str">
        <x:v>M</x:v>
      </x:c>
      <x:c r="I24" s="42" t="str">
        <x:v>P2-011</x:v>
      </x:c>
      <x:c r="J24" s="42" t="str">
        <x:v>生成参数语义正确</x:v>
      </x:c>
      <x:c r="K24" s="42" t="str">
        <x:v>权限不足内核样本</x:v>
      </x:c>
      <x:c r="L24" s="42" t="str">
        <x:v>未开始</x:v>
      </x:c>
      <x:c r="M24" s="42" t="str">
        <x:v>未分配</x:v>
      </x:c>
      <x:c r="N24" s="43" t="str"/>
    </x:row>
    <x:row r="25">
      <x:c r="A25" s="41" t="str">
        <x:v>CAP-011</x:v>
      </x:c>
      <x:c r="B25" s="42" t="str">
        <x:v>采集</x:v>
      </x:c>
      <x:c r="C25" s="42" t="str">
        <x:v>参数</x:v>
      </x:c>
      <x:c r="D25" s="42" t="str">
        <x:v>CPU集合</x:v>
      </x:c>
      <x:c r="E25" s="42" t="str">
        <x:v>限制采样CPU集合。</x:v>
      </x:c>
      <x:c r="F25" s="42" t="str">
        <x:v>V0.1</x:v>
      </x:c>
      <x:c r="G25" s="42" t="str">
        <x:v>P2</x:v>
      </x:c>
      <x:c r="H25" s="42" t="str">
        <x:v>M</x:v>
      </x:c>
      <x:c r="I25" s="42" t="str">
        <x:v>P2-011</x:v>
      </x:c>
      <x:c r="J25" s="42" t="str">
        <x:v>不能选择不存在CPU</x:v>
      </x:c>
      <x:c r="K25" s="42" t="str">
        <x:v>大小核设备</x:v>
      </x:c>
      <x:c r="L25" s="42" t="str">
        <x:v>未开始</x:v>
      </x:c>
      <x:c r="M25" s="42" t="str">
        <x:v>未分配</x:v>
      </x:c>
      <x:c r="N25" s="43" t="str"/>
    </x:row>
    <x:row r="26">
      <x:c r="A26" s="41" t="str">
        <x:v>CAP-012</x:v>
      </x:c>
      <x:c r="B26" s="42" t="str">
        <x:v>采集</x:v>
      </x:c>
      <x:c r="C26" s="42" t="str">
        <x:v>参数</x:v>
      </x:c>
      <x:c r="D26" s="42" t="str">
        <x:v>Off-CPU开关</x:v>
      </x:c>
      <x:c r="E26" s="42" t="str">
        <x:v>支持--trace-offcpu并显示限制。</x:v>
      </x:c>
      <x:c r="F26" s="42" t="str">
        <x:v>V0.1</x:v>
      </x:c>
      <x:c r="G26" s="42" t="str">
        <x:v>P1</x:v>
      </x:c>
      <x:c r="H26" s="42" t="str">
        <x:v>M</x:v>
      </x:c>
      <x:c r="I26" s="42" t="str">
        <x:v>P2-011</x:v>
      </x:c>
      <x:c r="J26" s="42" t="str">
        <x:v>数据中能识别ContextSwitch</x:v>
      </x:c>
      <x:c r="K26" s="42" t="str">
        <x:v>不同版本兼容</x:v>
      </x:c>
      <x:c r="L26" s="42" t="str">
        <x:v>未开始</x:v>
      </x:c>
      <x:c r="M26" s="42" t="str">
        <x:v>未分配</x:v>
      </x:c>
      <x:c r="N26" s="43" t="str"/>
    </x:row>
    <x:row r="27">
      <x:c r="A27" s="41" t="str">
        <x:v>CAP-013</x:v>
      </x:c>
      <x:c r="B27" s="42" t="str">
        <x:v>采集</x:v>
      </x:c>
      <x:c r="C27" s="42" t="str">
        <x:v>模板</x:v>
      </x:c>
      <x:c r="D27" s="42" t="str">
        <x:v>应用CPU模板</x:v>
      </x:c>
      <x:c r="E27" s="42" t="str">
        <x:v>cpu-clock:u、1000Hz、DWARF、10秒。</x:v>
      </x:c>
      <x:c r="F27" s="42" t="str">
        <x:v>V0.1</x:v>
      </x:c>
      <x:c r="G27" s="42" t="str">
        <x:v>P1</x:v>
      </x:c>
      <x:c r="H27" s="42" t="str">
        <x:v>S</x:v>
      </x:c>
      <x:c r="I27" s="42" t="str">
        <x:v>P2-010</x:v>
      </x:c>
      <x:c r="J27" s="42" t="str">
        <x:v>一键加载且允许修改</x:v>
      </x:c>
      <x:c r="K27" s="42" t="str">
        <x:v>模板覆盖行为</x:v>
      </x:c>
      <x:c r="L27" s="42" t="str">
        <x:v>未开始</x:v>
      </x:c>
      <x:c r="M27" s="42" t="str">
        <x:v>未分配</x:v>
      </x:c>
      <x:c r="N27" s="43" t="str"/>
    </x:row>
    <x:row r="28">
      <x:c r="A28" s="41" t="str">
        <x:v>CAP-014</x:v>
      </x:c>
      <x:c r="B28" s="42" t="str">
        <x:v>采集</x:v>
      </x:c>
      <x:c r="C28" s="42" t="str">
        <x:v>模板</x:v>
      </x:c>
      <x:c r="D28" s="42" t="str">
        <x:v>低开销模板</x:v>
      </x:c>
      <x:c r="E28" s="42" t="str">
        <x:v>较低频率和Frame Pointer长时采集。</x:v>
      </x:c>
      <x:c r="F28" s="42" t="str">
        <x:v>V0.1</x:v>
      </x:c>
      <x:c r="G28" s="42" t="str">
        <x:v>P1</x:v>
      </x:c>
      <x:c r="H28" s="42" t="str">
        <x:v>S</x:v>
      </x:c>
      <x:c r="I28" s="42" t="str">
        <x:v>P2-010</x:v>
      </x:c>
      <x:c r="J28" s="42" t="str">
        <x:v>参数符合低开销目标</x:v>
      </x:c>
      <x:c r="K28" s="42" t="str">
        <x:v>长时间文件增长</x:v>
      </x:c>
      <x:c r="L28" s="42" t="str">
        <x:v>未开始</x:v>
      </x:c>
      <x:c r="M28" s="42" t="str">
        <x:v>未分配</x:v>
      </x:c>
      <x:c r="N28" s="43" t="str"/>
    </x:row>
    <x:row r="29">
      <x:c r="A29" s="41" t="str">
        <x:v>CAP-015</x:v>
      </x:c>
      <x:c r="B29" s="42" t="str">
        <x:v>采集</x:v>
      </x:c>
      <x:c r="C29" s="42" t="str">
        <x:v>模板</x:v>
      </x:c>
      <x:c r="D29" s="42" t="str">
        <x:v>系统线程模板</x:v>
      </x:c>
      <x:c r="E29" s="42" t="str">
        <x:v>包含内核样本并适配系统进程。</x:v>
      </x:c>
      <x:c r="F29" s="42" t="str">
        <x:v>V0.1</x:v>
      </x:c>
      <x:c r="G29" s="42" t="str">
        <x:v>P1</x:v>
      </x:c>
      <x:c r="H29" s="42" t="str">
        <x:v>S</x:v>
      </x:c>
      <x:c r="I29" s="42" t="str">
        <x:v>P2-010</x:v>
      </x:c>
      <x:c r="J29" s="42" t="str">
        <x:v>权限不足时自动提示</x:v>
      </x:c>
      <x:c r="K29" s="42" t="str">
        <x:v>userdebug设备</x:v>
      </x:c>
      <x:c r="L29" s="42" t="str">
        <x:v>未开始</x:v>
      </x:c>
      <x:c r="M29" s="42" t="str">
        <x:v>未分配</x:v>
      </x:c>
      <x:c r="N29" s="43" t="str"/>
    </x:row>
    <x:row r="30">
      <x:c r="A30" s="41" t="str">
        <x:v>CAP-016</x:v>
      </x:c>
      <x:c r="B30" s="42" t="str">
        <x:v>采集</x:v>
      </x:c>
      <x:c r="C30" s="42" t="str">
        <x:v>检查</x:v>
      </x:c>
      <x:c r="D30" s="42" t="str">
        <x:v>采集前能力矩阵</x:v>
      </x:c>
      <x:c r="E30" s="42" t="str">
        <x:v>显示阻断项、警告和可继续项。</x:v>
      </x:c>
      <x:c r="F30" s="42" t="str">
        <x:v>V0.1</x:v>
      </x:c>
      <x:c r="G30" s="42" t="str">
        <x:v>P0</x:v>
      </x:c>
      <x:c r="H30" s="42" t="str">
        <x:v>M</x:v>
      </x:c>
      <x:c r="I30" s="42" t="str">
        <x:v>P2-012</x:v>
      </x:c>
      <x:c r="J30" s="42" t="str">
        <x:v>用户能理解为何不能采集</x:v>
      </x:c>
      <x:c r="K30" s="42" t="str">
        <x:v>权限/空间/事件</x:v>
      </x:c>
      <x:c r="L30" s="42" t="str">
        <x:v>未开始</x:v>
      </x:c>
      <x:c r="M30" s="42" t="str">
        <x:v>未分配</x:v>
      </x:c>
      <x:c r="N30" s="43" t="str"/>
    </x:row>
    <x:row r="31">
      <x:c r="A31" s="41" t="str">
        <x:v>CAP-017</x:v>
      </x:c>
      <x:c r="B31" s="42" t="str">
        <x:v>采集</x:v>
      </x:c>
      <x:c r="C31" s="42" t="str">
        <x:v>执行</x:v>
      </x:c>
      <x:c r="D31" s="42" t="str">
        <x:v>开始采集</x:v>
      </x:c>
      <x:c r="E31" s="42" t="str">
        <x:v>创建目录并启动simpleperf。</x:v>
      </x:c>
      <x:c r="F31" s="42" t="str">
        <x:v>V0.1</x:v>
      </x:c>
      <x:c r="G31" s="42" t="str">
        <x:v>P0</x:v>
      </x:c>
      <x:c r="H31" s="42" t="str">
        <x:v>L</x:v>
      </x:c>
      <x:c r="I31" s="42" t="str">
        <x:v>P2-013</x:v>
      </x:c>
      <x:c r="J31" s="42" t="str">
        <x:v>状态和实际进程一致</x:v>
      </x:c>
      <x:c r="K31" s="42" t="str">
        <x:v>重复开始、设备断开</x:v>
      </x:c>
      <x:c r="L31" s="42" t="str">
        <x:v>未开始</x:v>
      </x:c>
      <x:c r="M31" s="42" t="str">
        <x:v>未分配</x:v>
      </x:c>
      <x:c r="N31" s="43" t="str"/>
    </x:row>
    <x:row r="32">
      <x:c r="A32" s="41" t="str">
        <x:v>CAP-018</x:v>
      </x:c>
      <x:c r="B32" s="42" t="str">
        <x:v>采集</x:v>
      </x:c>
      <x:c r="C32" s="42" t="str">
        <x:v>执行</x:v>
      </x:c>
      <x:c r="D32" s="42" t="str">
        <x:v>正常停止</x:v>
      </x:c>
      <x:c r="E32" s="42" t="str">
        <x:v>中断并等待perf.data稳定。</x:v>
      </x:c>
      <x:c r="F32" s="42" t="str">
        <x:v>V0.1</x:v>
      </x:c>
      <x:c r="G32" s="42" t="str">
        <x:v>P0</x:v>
      </x:c>
      <x:c r="H32" s="42" t="str">
        <x:v>M</x:v>
      </x:c>
      <x:c r="I32" s="42" t="str">
        <x:v>P2-014</x:v>
      </x:c>
      <x:c r="J32" s="42" t="str">
        <x:v>结果文件可正常解析</x:v>
      </x:c>
      <x:c r="K32" s="42" t="str">
        <x:v>连续点击停止</x:v>
      </x:c>
      <x:c r="L32" s="42" t="str">
        <x:v>未开始</x:v>
      </x:c>
      <x:c r="M32" s="42" t="str">
        <x:v>未分配</x:v>
      </x:c>
      <x:c r="N32" s="43" t="str"/>
    </x:row>
    <x:row r="33">
      <x:c r="A33" s="41" t="str">
        <x:v>CAP-019</x:v>
      </x:c>
      <x:c r="B33" s="42" t="str">
        <x:v>采集</x:v>
      </x:c>
      <x:c r="C33" s="42" t="str">
        <x:v>执行</x:v>
      </x:c>
      <x:c r="D33" s="42" t="str">
        <x:v>取消采集</x:v>
      </x:c>
      <x:c r="E33" s="42" t="str">
        <x:v>终止并清理未完成数据。</x:v>
      </x:c>
      <x:c r="F33" s="42" t="str">
        <x:v>V0.1</x:v>
      </x:c>
      <x:c r="G33" s="42" t="str">
        <x:v>P0</x:v>
      </x:c>
      <x:c r="H33" s="42" t="str">
        <x:v>M</x:v>
      </x:c>
      <x:c r="I33" s="42" t="str">
        <x:v>P2-015</x:v>
      </x:c>
      <x:c r="J33" s="42" t="str">
        <x:v>无孤儿进程且保留日志</x:v>
      </x:c>
      <x:c r="K33" s="42" t="str">
        <x:v>取消时拔线</x:v>
      </x:c>
      <x:c r="L33" s="42" t="str">
        <x:v>未开始</x:v>
      </x:c>
      <x:c r="M33" s="42" t="str">
        <x:v>未分配</x:v>
      </x:c>
      <x:c r="N33" s="43" t="str"/>
    </x:row>
    <x:row r="34">
      <x:c r="A34" s="41" t="str">
        <x:v>CAP-020</x:v>
      </x:c>
      <x:c r="B34" s="42" t="str">
        <x:v>采集</x:v>
      </x:c>
      <x:c r="C34" s="42" t="str">
        <x:v>传输</x:v>
      </x:c>
      <x:c r="D34" s="42" t="str">
        <x:v>安全拉取</x:v>
      </x:c>
      <x:c r="E34" s="42" t="str">
        <x:v>tmp拉取、大小/哈希校验、原子重命名。</x:v>
      </x:c>
      <x:c r="F34" s="42" t="str">
        <x:v>V0.1</x:v>
      </x:c>
      <x:c r="G34" s="42" t="str">
        <x:v>P0</x:v>
      </x:c>
      <x:c r="H34" s="42" t="str">
        <x:v>M</x:v>
      </x:c>
      <x:c r="I34" s="42" t="str">
        <x:v>P2-016</x:v>
      </x:c>
      <x:c r="J34" s="42" t="str">
        <x:v>中断不破坏已有文件</x:v>
      </x:c>
      <x:c r="K34" s="42" t="str">
        <x:v>磁盘不足、拉取中断</x:v>
      </x:c>
      <x:c r="L34" s="42" t="str">
        <x:v>未开始</x:v>
      </x:c>
      <x:c r="M34" s="42" t="str">
        <x:v>未分配</x:v>
      </x:c>
      <x:c r="N34" s="43" t="str"/>
    </x:row>
    <x:row r="35">
      <x:c r="A35" s="41" t="str">
        <x:v>CAP-021</x:v>
      </x:c>
      <x:c r="B35" s="42" t="str">
        <x:v>采集</x:v>
      </x:c>
      <x:c r="C35" s="42" t="str">
        <x:v>进度</x:v>
      </x:c>
      <x:c r="D35" s="42" t="str">
        <x:v>实时阶段和日志</x:v>
      </x:c>
      <x:c r="E35" s="42" t="str">
        <x:v>展示Preparing/Recording/Pulling等。</x:v>
      </x:c>
      <x:c r="F35" s="42" t="str">
        <x:v>V0.1</x:v>
      </x:c>
      <x:c r="G35" s="42" t="str">
        <x:v>P1</x:v>
      </x:c>
      <x:c r="H35" s="42" t="str">
        <x:v>M</x:v>
      </x:c>
      <x:c r="I35" s="42" t="str">
        <x:v>P2-017</x:v>
      </x:c>
      <x:c r="J35" s="42" t="str">
        <x:v>日志不会导致UI卡顿</x:v>
      </x:c>
      <x:c r="K35" s="42" t="str">
        <x:v>大输出限流</x:v>
      </x:c>
      <x:c r="L35" s="42" t="str">
        <x:v>未开始</x:v>
      </x:c>
      <x:c r="M35" s="42" t="str">
        <x:v>未分配</x:v>
      </x:c>
      <x:c r="N35" s="43" t="str"/>
    </x:row>
    <x:row r="36">
      <x:c r="A36" s="41" t="str">
        <x:v>IMP-001</x:v>
      </x:c>
      <x:c r="B36" s="42" t="str">
        <x:v>导入解析</x:v>
      </x:c>
      <x:c r="C36" s="42" t="str">
        <x:v>转换</x:v>
      </x:c>
      <x:c r="D36" s="42" t="str">
        <x:v>Host Simpleperf选择</x:v>
      </x:c>
      <x:c r="E36" s="42" t="str">
        <x:v>按平台和架构选择可执行文件。</x:v>
      </x:c>
      <x:c r="F36" s="42" t="str">
        <x:v>V0.1</x:v>
      </x:c>
      <x:c r="G36" s="42" t="str">
        <x:v>P0</x:v>
      </x:c>
      <x:c r="H36" s="42" t="str">
        <x:v>M</x:v>
      </x:c>
      <x:c r="I36" s="42" t="str">
        <x:v>P3-001</x:v>
      </x:c>
      <x:c r="J36" s="42" t="str">
        <x:v>路径正确并验证版本</x:v>
      </x:c>
      <x:c r="K36" s="42" t="str">
        <x:v>mac arm/x64、win x64</x:v>
      </x:c>
      <x:c r="L36" s="42" t="str">
        <x:v>未开始</x:v>
      </x:c>
      <x:c r="M36" s="42" t="str">
        <x:v>未分配</x:v>
      </x:c>
      <x:c r="N36" s="43" t="str"/>
    </x:row>
    <x:row r="37">
      <x:c r="A37" s="41" t="str">
        <x:v>IMP-002</x:v>
      </x:c>
      <x:c r="B37" s="42" t="str">
        <x:v>导入解析</x:v>
      </x:c>
      <x:c r="C37" s="42" t="str">
        <x:v>转换</x:v>
      </x:c>
      <x:c r="D37" s="42" t="str">
        <x:v>perf.data转protobuf</x:v>
      </x:c>
      <x:c r="E37" s="42" t="str">
        <x:v>执行report-sample protobuf转换。</x:v>
      </x:c>
      <x:c r="F37" s="42" t="str">
        <x:v>V0.1</x:v>
      </x:c>
      <x:c r="G37" s="42" t="str">
        <x:v>P0</x:v>
      </x:c>
      <x:c r="H37" s="42" t="str">
        <x:v>M</x:v>
      </x:c>
      <x:c r="I37" s="42" t="str">
        <x:v>P3-002</x:v>
      </x:c>
      <x:c r="J37" s="42" t="str">
        <x:v>输出协议头和终止标记合法</x:v>
      </x:c>
      <x:c r="K37" s="42" t="str">
        <x:v>空/损坏perf.data</x:v>
      </x:c>
      <x:c r="L37" s="42" t="str">
        <x:v>未开始</x:v>
      </x:c>
      <x:c r="M37" s="42" t="str">
        <x:v>未分配</x:v>
      </x:c>
      <x:c r="N37" s="43" t="str"/>
    </x:row>
    <x:row r="38">
      <x:c r="A38" s="41" t="str">
        <x:v>IMP-003</x:v>
      </x:c>
      <x:c r="B38" s="42" t="str">
        <x:v>导入解析</x:v>
      </x:c>
      <x:c r="C38" s="42" t="str">
        <x:v>符号</x:v>
      </x:c>
      <x:c r="D38" s="42" t="str">
        <x:v>symdir支持</x:v>
      </x:c>
      <x:c r="E38" s="42" t="str">
        <x:v>配置symbols或binary_cache目录。</x:v>
      </x:c>
      <x:c r="F38" s="42" t="str">
        <x:v>V0.1</x:v>
      </x:c>
      <x:c r="G38" s="42" t="str">
        <x:v>P1</x:v>
      </x:c>
      <x:c r="H38" s="42" t="str">
        <x:v>M</x:v>
      </x:c>
      <x:c r="I38" s="42" t="str">
        <x:v>P3-003</x:v>
      </x:c>
      <x:c r="J38" s="42" t="str">
        <x:v>符号解析率可对比</x:v>
      </x:c>
      <x:c r="K38" s="42" t="str">
        <x:v>目录缺失、版本不匹配</x:v>
      </x:c>
      <x:c r="L38" s="42" t="str">
        <x:v>未开始</x:v>
      </x:c>
      <x:c r="M38" s="42" t="str">
        <x:v>未分配</x:v>
      </x:c>
      <x:c r="N38" s="43" t="str"/>
    </x:row>
    <x:row r="39">
      <x:c r="A39" s="41" t="str">
        <x:v>IMP-004</x:v>
      </x:c>
      <x:c r="B39" s="42" t="str">
        <x:v>导入解析</x:v>
      </x:c>
      <x:c r="C39" s="42" t="str">
        <x:v>符号</x:v>
      </x:c>
      <x:c r="D39" s="42" t="str">
        <x:v>mapping.txt支持</x:v>
      </x:c>
      <x:c r="E39" s="42" t="str">
        <x:v>支持Java/Kotlin混淆映射。</x:v>
      </x:c>
      <x:c r="F39" s="42" t="str">
        <x:v>V0.1</x:v>
      </x:c>
      <x:c r="G39" s="42" t="str">
        <x:v>P1</x:v>
      </x:c>
      <x:c r="H39" s="42" t="str">
        <x:v>S</x:v>
      </x:c>
      <x:c r="I39" s="42" t="str">
        <x:v>P3-004</x:v>
      </x:c>
      <x:c r="J39" s="42" t="str">
        <x:v>混淆名称可恢复</x:v>
      </x:c>
      <x:c r="K39" s="42" t="str">
        <x:v>mapping不匹配</x:v>
      </x:c>
      <x:c r="L39" s="42" t="str">
        <x:v>未开始</x:v>
      </x:c>
      <x:c r="M39" s="42" t="str">
        <x:v>未分配</x:v>
      </x:c>
      <x:c r="N39" s="43" t="str"/>
    </x:row>
    <x:row r="40">
      <x:c r="A40" s="41" t="str">
        <x:v>IMP-005</x:v>
      </x:c>
      <x:c r="B40" s="42" t="str">
        <x:v>导入解析</x:v>
      </x:c>
      <x:c r="C40" s="42" t="str">
        <x:v>协议</x:v>
      </x:c>
      <x:c r="D40" s="42" t="str">
        <x:v>协议头校验</x:v>
      </x:c>
      <x:c r="E40" s="42" t="str">
        <x:v>校验magic/version/end marker。</x:v>
      </x:c>
      <x:c r="F40" s="42" t="str">
        <x:v>V0.1</x:v>
      </x:c>
      <x:c r="G40" s="42" t="str">
        <x:v>P0</x:v>
      </x:c>
      <x:c r="H40" s="42" t="str">
        <x:v>S</x:v>
      </x:c>
      <x:c r="I40" s="42" t="str">
        <x:v>P3-006</x:v>
      </x:c>
      <x:c r="J40" s="42" t="str">
        <x:v>非法文件拒绝导入</x:v>
      </x:c>
      <x:c r="K40" s="42" t="str">
        <x:v>版本升级</x:v>
      </x:c>
      <x:c r="L40" s="42" t="str">
        <x:v>未开始</x:v>
      </x:c>
      <x:c r="M40" s="42" t="str">
        <x:v>未分配</x:v>
      </x:c>
      <x:c r="N40" s="43" t="str"/>
    </x:row>
    <x:row r="41">
      <x:c r="A41" s="41" t="str">
        <x:v>IMP-006</x:v>
      </x:c>
      <x:c r="B41" s="42" t="str">
        <x:v>导入解析</x:v>
      </x:c>
      <x:c r="C41" s="42" t="str">
        <x:v>协议</x:v>
      </x:c>
      <x:c r="D41" s="42" t="str">
        <x:v>长度前缀流式读取</x:v>
      </x:c>
      <x:c r="E41" s="42" t="str">
        <x:v>逐Record读取并设置大小限制。</x:v>
      </x:c>
      <x:c r="F41" s="42" t="str">
        <x:v>V0.1</x:v>
      </x:c>
      <x:c r="G41" s="42" t="str">
        <x:v>P0</x:v>
      </x:c>
      <x:c r="H41" s="42" t="str">
        <x:v>L</x:v>
      </x:c>
      <x:c r="I41" s="42" t="str">
        <x:v>P3-007</x:v>
      </x:c>
      <x:c r="J41" s="42" t="str">
        <x:v>大文件无整文件加载</x:v>
      </x:c>
      <x:c r="K41" s="42" t="str">
        <x:v>恶意长度、截断</x:v>
      </x:c>
      <x:c r="L41" s="42" t="str">
        <x:v>未开始</x:v>
      </x:c>
      <x:c r="M41" s="42" t="str">
        <x:v>未分配</x:v>
      </x:c>
      <x:c r="N41" s="43" t="str"/>
    </x:row>
    <x:row r="42">
      <x:c r="A42" s="41" t="str">
        <x:v>IMP-007</x:v>
      </x:c>
      <x:c r="B42" s="42" t="str">
        <x:v>导入解析</x:v>
      </x:c>
      <x:c r="C42" s="42" t="str">
        <x:v>记录</x:v>
      </x:c>
      <x:c r="D42" s="42" t="str">
        <x:v>MetaInfo解析</x:v>
      </x:c>
      <x:c r="E42" s="42" t="str">
        <x:v>事件、SDK、build type、offcpu。</x:v>
      </x:c>
      <x:c r="F42" s="42" t="str">
        <x:v>V0.1</x:v>
      </x:c>
      <x:c r="G42" s="42" t="str">
        <x:v>P0</x:v>
      </x:c>
      <x:c r="H42" s="42" t="str">
        <x:v>S</x:v>
      </x:c>
      <x:c r="I42" s="42" t="str">
        <x:v>P3-008</x:v>
      </x:c>
      <x:c r="J42" s="42" t="str">
        <x:v>信息写入Session元数据</x:v>
      </x:c>
      <x:c r="K42" s="42" t="str">
        <x:v>字段缺失</x:v>
      </x:c>
      <x:c r="L42" s="42" t="str">
        <x:v>未开始</x:v>
      </x:c>
      <x:c r="M42" s="42" t="str">
        <x:v>未分配</x:v>
      </x:c>
      <x:c r="N42" s="43" t="str"/>
    </x:row>
    <x:row r="43">
      <x:c r="A43" s="41" t="str">
        <x:v>IMP-008</x:v>
      </x:c>
      <x:c r="B43" s="42" t="str">
        <x:v>导入解析</x:v>
      </x:c>
      <x:c r="C43" s="42" t="str">
        <x:v>记录</x:v>
      </x:c>
      <x:c r="D43" s="42" t="str">
        <x:v>File/Symbol解析</x:v>
      </x:c>
      <x:c r="E43" s="42" t="str">
        <x:v>读取路径、符号和地址。</x:v>
      </x:c>
      <x:c r="F43" s="42" t="str">
        <x:v>V0.1</x:v>
      </x:c>
      <x:c r="G43" s="42" t="str">
        <x:v>P0</x:v>
      </x:c>
      <x:c r="H43" s="42" t="str">
        <x:v>M</x:v>
      </x:c>
      <x:c r="I43" s="42" t="str">
        <x:v>P3-009</x:v>
      </x:c>
      <x:c r="J43" s="42" t="str">
        <x:v>引用关系有效</x:v>
      </x:c>
      <x:c r="K43" s="42" t="str">
        <x:v>重复ID、Unknown</x:v>
      </x:c>
      <x:c r="L43" s="42" t="str">
        <x:v>未开始</x:v>
      </x:c>
      <x:c r="M43" s="42" t="str">
        <x:v>未分配</x:v>
      </x:c>
      <x:c r="N43" s="43" t="str"/>
    </x:row>
    <x:row r="44">
      <x:c r="A44" s="41" t="str">
        <x:v>IMP-009</x:v>
      </x:c>
      <x:c r="B44" s="42" t="str">
        <x:v>导入解析</x:v>
      </x:c>
      <x:c r="C44" s="42" t="str">
        <x:v>记录</x:v>
      </x:c>
      <x:c r="D44" s="42" t="str">
        <x:v>Thread/Process解析</x:v>
      </x:c>
      <x:c r="E44" s="42" t="str">
        <x:v>建立PID/TID和线程名。</x:v>
      </x:c>
      <x:c r="F44" s="42" t="str">
        <x:v>V0.1</x:v>
      </x:c>
      <x:c r="G44" s="42" t="str">
        <x:v>P0</x:v>
      </x:c>
      <x:c r="H44" s="42" t="str">
        <x:v>S</x:v>
      </x:c>
      <x:c r="I44" s="42" t="str">
        <x:v>P3-010</x:v>
      </x:c>
      <x:c r="J44" s="42" t="str">
        <x:v>多进程关系正确</x:v>
      </x:c>
      <x:c r="K44" s="42" t="str">
        <x:v>线程改名</x:v>
      </x:c>
      <x:c r="L44" s="42" t="str">
        <x:v>未开始</x:v>
      </x:c>
      <x:c r="M44" s="42" t="str">
        <x:v>未分配</x:v>
      </x:c>
      <x:c r="N44" s="43" t="str"/>
    </x:row>
    <x:row r="45">
      <x:c r="A45" s="41" t="str">
        <x:v>IMP-010</x:v>
      </x:c>
      <x:c r="B45" s="42" t="str">
        <x:v>导入解析</x:v>
      </x:c>
      <x:c r="C45" s="42" t="str">
        <x:v>记录</x:v>
      </x:c>
      <x:c r="D45" s="42" t="str">
        <x:v>Sample/Callchain解析</x:v>
      </x:c>
      <x:c r="E45" s="42" t="str">
        <x:v>解析时间、权重、帧和执行类型。</x:v>
      </x:c>
      <x:c r="F45" s="42" t="str">
        <x:v>V0.1</x:v>
      </x:c>
      <x:c r="G45" s="42" t="str">
        <x:v>P0</x:v>
      </x:c>
      <x:c r="H45" s="42" t="str">
        <x:v>L</x:v>
      </x:c>
      <x:c r="I45" s="42" t="str">
        <x:v>P3-011</x:v>
      </x:c>
      <x:c r="J45" s="42" t="str">
        <x:v>与官方report统计基本一致</x:v>
      </x:c>
      <x:c r="K45" s="42" t="str">
        <x:v>深栈、大样本</x:v>
      </x:c>
      <x:c r="L45" s="42" t="str">
        <x:v>未开始</x:v>
      </x:c>
      <x:c r="M45" s="42" t="str">
        <x:v>未分配</x:v>
      </x:c>
      <x:c r="N45" s="43" t="str"/>
    </x:row>
    <x:row r="46">
      <x:c r="A46" s="41" t="str">
        <x:v>IMP-011</x:v>
      </x:c>
      <x:c r="B46" s="42" t="str">
        <x:v>导入解析</x:v>
      </x:c>
      <x:c r="C46" s="42" t="str">
        <x:v>记录</x:v>
      </x:c>
      <x:c r="D46" s="42" t="str">
        <x:v>LostSituation解析</x:v>
      </x:c>
      <x:c r="E46" s="42" t="str">
        <x:v>统计Sample与Lost数量。</x:v>
      </x:c>
      <x:c r="F46" s="42" t="str">
        <x:v>V0.1</x:v>
      </x:c>
      <x:c r="G46" s="42" t="str">
        <x:v>P1</x:v>
      </x:c>
      <x:c r="H46" s="42" t="str">
        <x:v>S</x:v>
      </x:c>
      <x:c r="I46" s="42" t="str">
        <x:v>P3-012</x:v>
      </x:c>
      <x:c r="J46" s="42" t="str">
        <x:v>可供数据质量规则使用</x:v>
      </x:c>
      <x:c r="K46" s="42" t="str">
        <x:v>无Lost记录</x:v>
      </x:c>
      <x:c r="L46" s="42" t="str">
        <x:v>未开始</x:v>
      </x:c>
      <x:c r="M46" s="42" t="str">
        <x:v>未分配</x:v>
      </x:c>
      <x:c r="N46" s="43" t="str"/>
    </x:row>
    <x:row r="47">
      <x:c r="A47" s="41" t="str">
        <x:v>IMP-012</x:v>
      </x:c>
      <x:c r="B47" s="42" t="str">
        <x:v>导入解析</x:v>
      </x:c>
      <x:c r="C47" s="42" t="str">
        <x:v>记录</x:v>
      </x:c>
      <x:c r="D47" s="42" t="str">
        <x:v>ContextSwitch解析</x:v>
      </x:c>
      <x:c r="E47" s="42" t="str">
        <x:v>保存线程切换记录。</x:v>
      </x:c>
      <x:c r="F47" s="42" t="str">
        <x:v>V0.1</x:v>
      </x:c>
      <x:c r="G47" s="42" t="str">
        <x:v>P1</x:v>
      </x:c>
      <x:c r="H47" s="42" t="str">
        <x:v>M</x:v>
      </x:c>
      <x:c r="I47" s="42" t="str">
        <x:v>P3-013</x:v>
      </x:c>
      <x:c r="J47" s="42" t="str">
        <x:v>时间线可读取</x:v>
      </x:c>
      <x:c r="K47" s="42" t="str">
        <x:v>Off-CPU数据缺失</x:v>
      </x:c>
      <x:c r="L47" s="42" t="str">
        <x:v>未开始</x:v>
      </x:c>
      <x:c r="M47" s="42" t="str">
        <x:v>未分配</x:v>
      </x:c>
      <x:c r="N47" s="43" t="str"/>
    </x:row>
    <x:row r="48">
      <x:c r="A48" s="41" t="str">
        <x:v>IMP-013</x:v>
      </x:c>
      <x:c r="B48" s="42" t="str">
        <x:v>导入解析</x:v>
      </x:c>
      <x:c r="C48" s="42" t="str">
        <x:v>记录</x:v>
      </x:c>
      <x:c r="D48" s="42" t="str">
        <x:v>Unwind错误解析</x:v>
      </x:c>
      <x:c r="E48" s="42" t="str">
        <x:v>记录错误类型和地址。</x:v>
      </x:c>
      <x:c r="F48" s="42" t="str">
        <x:v>V0.1</x:v>
      </x:c>
      <x:c r="G48" s="42" t="str">
        <x:v>P1</x:v>
      </x:c>
      <x:c r="H48" s="42" t="str">
        <x:v>M</x:v>
      </x:c>
      <x:c r="I48" s="42" t="str">
        <x:v>P3-014</x:v>
      </x:c>
      <x:c r="J48" s="42" t="str">
        <x:v>可统计失败分布</x:v>
      </x:c>
      <x:c r="K48" s="42" t="str">
        <x:v>未知错误码</x:v>
      </x:c>
      <x:c r="L48" s="42" t="str">
        <x:v>未开始</x:v>
      </x:c>
      <x:c r="M48" s="42" t="str">
        <x:v>未分配</x:v>
      </x:c>
      <x:c r="N48" s="43" t="str"/>
    </x:row>
    <x:row r="49">
      <x:c r="A49" s="41" t="str">
        <x:v>IMP-014</x:v>
      </x:c>
      <x:c r="B49" s="42" t="str">
        <x:v>导入解析</x:v>
      </x:c>
      <x:c r="C49" s="42" t="str">
        <x:v>控制</x:v>
      </x:c>
      <x:c r="D49" s="42" t="str">
        <x:v>解析进度和取消</x:v>
      </x:c>
      <x:c r="E49" s="42" t="str">
        <x:v>显示进度并安全回滚。</x:v>
      </x:c>
      <x:c r="F49" s="42" t="str">
        <x:v>V0.1</x:v>
      </x:c>
      <x:c r="G49" s="42" t="str">
        <x:v>P1</x:v>
      </x:c>
      <x:c r="H49" s="42" t="str">
        <x:v>M</x:v>
      </x:c>
      <x:c r="I49" s="42" t="str">
        <x:v>P3-015</x:v>
      </x:c>
      <x:c r="J49" s="42" t="str">
        <x:v>取消后数据库可重试</x:v>
      </x:c>
      <x:c r="K49" s="42" t="str">
        <x:v>事务回滚</x:v>
      </x:c>
      <x:c r="L49" s="42" t="str">
        <x:v>未开始</x:v>
      </x:c>
      <x:c r="M49" s="42" t="str">
        <x:v>未分配</x:v>
      </x:c>
      <x:c r="N49" s="43" t="str"/>
    </x:row>
    <x:row r="50">
      <x:c r="A50" s="41" t="str">
        <x:v>DB-001</x:v>
      </x:c>
      <x:c r="B50" s="42" t="str">
        <x:v>数据层</x:v>
      </x:c>
      <x:c r="C50" s="42" t="str">
        <x:v>Schema</x:v>
      </x:c>
      <x:c r="D50" s="42" t="str">
        <x:v>SQLite Schema v1</x:v>
      </x:c>
      <x:c r="E50" s="42" t="str">
        <x:v>核心表、约束、外键和版本。</x:v>
      </x:c>
      <x:c r="F50" s="42" t="str">
        <x:v>V0.1</x:v>
      </x:c>
      <x:c r="G50" s="42" t="str">
        <x:v>P0</x:v>
      </x:c>
      <x:c r="H50" s="42" t="str">
        <x:v>L</x:v>
      </x:c>
      <x:c r="I50" s="42" t="str">
        <x:v>P4-001</x:v>
      </x:c>
      <x:c r="J50" s="42" t="str">
        <x:v>支持全部首版查询</x:v>
      </x:c>
      <x:c r="K50" s="42" t="str">
        <x:v>迁移和损坏</x:v>
      </x:c>
      <x:c r="L50" s="42" t="str">
        <x:v>未开始</x:v>
      </x:c>
      <x:c r="M50" s="42" t="str">
        <x:v>未分配</x:v>
      </x:c>
      <x:c r="N50" s="43" t="str"/>
    </x:row>
    <x:row r="51">
      <x:c r="A51" s="41" t="str">
        <x:v>DB-002</x:v>
      </x:c>
      <x:c r="B51" s="42" t="str">
        <x:v>数据层</x:v>
      </x:c>
      <x:c r="C51" s="42" t="str">
        <x:v>Migration</x:v>
      </x:c>
      <x:c r="D51" s="42" t="str">
        <x:v>数据库迁移</x:v>
      </x:c>
      <x:c r="E51" s="42" t="str">
        <x:v>支持后续Schema升级和失败回滚。</x:v>
      </x:c>
      <x:c r="F51" s="42" t="str">
        <x:v>V0.1</x:v>
      </x:c>
      <x:c r="G51" s="42" t="str">
        <x:v>P0</x:v>
      </x:c>
      <x:c r="H51" s="42" t="str">
        <x:v>M</x:v>
      </x:c>
      <x:c r="I51" s="42" t="str">
        <x:v>P4-002</x:v>
      </x:c>
      <x:c r="J51" s="42" t="str">
        <x:v>旧Session可打开或明确不兼容</x:v>
      </x:c>
      <x:c r="K51" s="42" t="str">
        <x:v>版本跳跃</x:v>
      </x:c>
      <x:c r="L51" s="42" t="str">
        <x:v>未开始</x:v>
      </x:c>
      <x:c r="M51" s="42" t="str">
        <x:v>未分配</x:v>
      </x:c>
      <x:c r="N51" s="43" t="str"/>
    </x:row>
    <x:row r="52">
      <x:c r="A52" s="41" t="str">
        <x:v>DB-003</x:v>
      </x:c>
      <x:c r="B52" s="42" t="str">
        <x:v>数据层</x:v>
      </x:c>
      <x:c r="C52" s="42" t="str">
        <x:v>事务</x:v>
      </x:c>
      <x:c r="D52" s="42" t="str">
        <x:v>WAL与Checkpoint</x:v>
      </x:c>
      <x:c r="E52" s="42" t="str">
        <x:v>导入性能和导出一致性。</x:v>
      </x:c>
      <x:c r="F52" s="42" t="str">
        <x:v>V0.1</x:v>
      </x:c>
      <x:c r="G52" s="42" t="str">
        <x:v>P1</x:v>
      </x:c>
      <x:c r="H52" s="42" t="str">
        <x:v>M</x:v>
      </x:c>
      <x:c r="I52" s="42" t="str">
        <x:v>P4-003</x:v>
      </x:c>
      <x:c r="J52" s="42" t="str">
        <x:v>导出包不依赖遗留WAL</x:v>
      </x:c>
      <x:c r="K52" s="42" t="str">
        <x:v>强退、复制</x:v>
      </x:c>
      <x:c r="L52" s="42" t="str">
        <x:v>未开始</x:v>
      </x:c>
      <x:c r="M52" s="42" t="str">
        <x:v>未分配</x:v>
      </x:c>
      <x:c r="N52" s="43" t="str"/>
    </x:row>
    <x:row r="53">
      <x:c r="A53" s="41" t="str">
        <x:v>DB-004</x:v>
      </x:c>
      <x:c r="B53" s="42" t="str">
        <x:v>数据层</x:v>
      </x:c>
      <x:c r="C53" s="42" t="str">
        <x:v>写入</x:v>
      </x:c>
      <x:c r="D53" s="42" t="str">
        <x:v>批量Sample写入</x:v>
      </x:c>
      <x:c r="E53" s="42" t="str">
        <x:v>按批次事务写入。</x:v>
      </x:c>
      <x:c r="F53" s="42" t="str">
        <x:v>V0.1</x:v>
      </x:c>
      <x:c r="G53" s="42" t="str">
        <x:v>P0</x:v>
      </x:c>
      <x:c r="H53" s="42" t="str">
        <x:v>L</x:v>
      </x:c>
      <x:c r="I53" s="42" t="str">
        <x:v>P4-005</x:v>
      </x:c>
      <x:c r="J53" s="42" t="str">
        <x:v>百万样本无OOM</x:v>
      </x:c>
      <x:c r="K53" s="42" t="str">
        <x:v>批次大小调优</x:v>
      </x:c>
      <x:c r="L53" s="42" t="str">
        <x:v>未开始</x:v>
      </x:c>
      <x:c r="M53" s="42" t="str">
        <x:v>未分配</x:v>
      </x:c>
      <x:c r="N53" s="43" t="str"/>
    </x:row>
    <x:row r="54">
      <x:c r="A54" s="41" t="str">
        <x:v>DB-005</x:v>
      </x:c>
      <x:c r="B54" s="42" t="str">
        <x:v>数据层</x:v>
      </x:c>
      <x:c r="C54" s="42" t="str">
        <x:v>去重</x:v>
      </x:c>
      <x:c r="D54" s="42" t="str">
        <x:v>Frame Intern</x:v>
      </x:c>
      <x:c r="E54" s="42" t="str">
        <x:v>共享相同Frame记录。</x:v>
      </x:c>
      <x:c r="F54" s="42" t="str">
        <x:v>V0.1</x:v>
      </x:c>
      <x:c r="G54" s="42" t="str">
        <x:v>P0</x:v>
      </x:c>
      <x:c r="H54" s="42" t="str">
        <x:v>M</x:v>
      </x:c>
      <x:c r="I54" s="42" t="str">
        <x:v>P4-006</x:v>
      </x:c>
      <x:c r="J54" s="42" t="str">
        <x:v>去重结果正确</x:v>
      </x:c>
      <x:c r="K54" s="42" t="str">
        <x:v>地址相同符号不同</x:v>
      </x:c>
      <x:c r="L54" s="42" t="str">
        <x:v>未开始</x:v>
      </x:c>
      <x:c r="M54" s="42" t="str">
        <x:v>未分配</x:v>
      </x:c>
      <x:c r="N54" s="43" t="str"/>
    </x:row>
    <x:row r="55">
      <x:c r="A55" s="41" t="str">
        <x:v>DB-006</x:v>
      </x:c>
      <x:c r="B55" s="42" t="str">
        <x:v>数据层</x:v>
      </x:c>
      <x:c r="C55" s="42" t="str">
        <x:v>去重</x:v>
      </x:c>
      <x:c r="D55" s="42" t="str">
        <x:v>Callsite Intern</x:v>
      </x:c>
      <x:c r="E55" s="42" t="str">
        <x:v>共享调用树节点。</x:v>
      </x:c>
      <x:c r="F55" s="42" t="str">
        <x:v>V0.1</x:v>
      </x:c>
      <x:c r="G55" s="42" t="str">
        <x:v>P0</x:v>
      </x:c>
      <x:c r="H55" s="42" t="str">
        <x:v>L</x:v>
      </x:c>
      <x:c r="I55" s="42" t="str">
        <x:v>P4-007</x:v>
      </x:c>
      <x:c r="J55" s="42" t="str">
        <x:v>父子关系和递归正确</x:v>
      </x:c>
      <x:c r="K55" s="42" t="str">
        <x:v>深栈、递归</x:v>
      </x:c>
      <x:c r="L55" s="42" t="str">
        <x:v>未开始</x:v>
      </x:c>
      <x:c r="M55" s="42" t="str">
        <x:v>未分配</x:v>
      </x:c>
      <x:c r="N55" s="43" t="str"/>
    </x:row>
    <x:row r="56">
      <x:c r="A56" s="41" t="str">
        <x:v>DB-007</x:v>
      </x:c>
      <x:c r="B56" s="42" t="str">
        <x:v>数据层</x:v>
      </x:c>
      <x:c r="C56" s="42" t="str">
        <x:v>聚合</x:v>
      </x:c>
      <x:c r="D56" s="42" t="str">
        <x:v>线程聚合</x:v>
      </x:c>
      <x:c r="E56" s="42" t="str">
        <x:v>按事件计算线程权重。</x:v>
      </x:c>
      <x:c r="F56" s="42" t="str">
        <x:v>V0.1</x:v>
      </x:c>
      <x:c r="G56" s="42" t="str">
        <x:v>P0</x:v>
      </x:c>
      <x:c r="H56" s="42" t="str">
        <x:v>M</x:v>
      </x:c>
      <x:c r="I56" s="42" t="str">
        <x:v>P4-009</x:v>
      </x:c>
      <x:c r="J56" s="42" t="str">
        <x:v>总量与Sample一致</x:v>
      </x:c>
      <x:c r="K56" s="42" t="str">
        <x:v>多事件隔离</x:v>
      </x:c>
      <x:c r="L56" s="42" t="str">
        <x:v>未开始</x:v>
      </x:c>
      <x:c r="M56" s="42" t="str">
        <x:v>未分配</x:v>
      </x:c>
      <x:c r="N56" s="43" t="str"/>
    </x:row>
    <x:row r="57">
      <x:c r="A57" s="41" t="str">
        <x:v>DB-008</x:v>
      </x:c>
      <x:c r="B57" s="42" t="str">
        <x:v>数据层</x:v>
      </x:c>
      <x:c r="C57" s="42" t="str">
        <x:v>聚合</x:v>
      </x:c>
      <x:c r="D57" s="42" t="str">
        <x:v>函数Self聚合</x:v>
      </x:c>
      <x:c r="E57" s="42" t="str">
        <x:v>叶Frame累加Self权重。</x:v>
      </x:c>
      <x:c r="F57" s="42" t="str">
        <x:v>V0.1</x:v>
      </x:c>
      <x:c r="G57" s="42" t="str">
        <x:v>P0</x:v>
      </x:c>
      <x:c r="H57" s="42" t="str">
        <x:v>M</x:v>
      </x:c>
      <x:c r="I57" s="42" t="str">
        <x:v>P4-010</x:v>
      </x:c>
      <x:c r="J57" s="42" t="str">
        <x:v>Self总量与样本权重一致</x:v>
      </x:c>
      <x:c r="K57" s="42" t="str">
        <x:v>空栈样本</x:v>
      </x:c>
      <x:c r="L57" s="42" t="str">
        <x:v>未开始</x:v>
      </x:c>
      <x:c r="M57" s="42" t="str">
        <x:v>未分配</x:v>
      </x:c>
      <x:c r="N57" s="43" t="str"/>
    </x:row>
    <x:row r="58">
      <x:c r="A58" s="41" t="str">
        <x:v>DB-009</x:v>
      </x:c>
      <x:c r="B58" s="42" t="str">
        <x:v>数据层</x:v>
      </x:c>
      <x:c r="C58" s="42" t="str">
        <x:v>聚合</x:v>
      </x:c>
      <x:c r="D58" s="42" t="str">
        <x:v>函数Inclusive聚合</x:v>
      </x:c>
      <x:c r="E58" s="42" t="str">
        <x:v>沿父链累计Inclusive权重。</x:v>
      </x:c>
      <x:c r="F58" s="42" t="str">
        <x:v>V0.1</x:v>
      </x:c>
      <x:c r="G58" s="42" t="str">
        <x:v>P0</x:v>
      </x:c>
      <x:c r="H58" s="42" t="str">
        <x:v>L</x:v>
      </x:c>
      <x:c r="I58" s="42" t="str">
        <x:v>P4-010</x:v>
      </x:c>
      <x:c r="J58" s="42" t="str">
        <x:v>父节点权重不小于子节点</x:v>
      </x:c>
      <x:c r="K58" s="42" t="str">
        <x:v>递归调用</x:v>
      </x:c>
      <x:c r="L58" s="42" t="str">
        <x:v>未开始</x:v>
      </x:c>
      <x:c r="M58" s="42" t="str">
        <x:v>未分配</x:v>
      </x:c>
      <x:c r="N58" s="43" t="str"/>
    </x:row>
    <x:row r="59">
      <x:c r="A59" s="41" t="str">
        <x:v>DB-010</x:v>
      </x:c>
      <x:c r="B59" s="42" t="str">
        <x:v>数据层</x:v>
      </x:c>
      <x:c r="C59" s="42" t="str">
        <x:v>查询</x:v>
      </x:c>
      <x:c r="D59" s="42" t="str">
        <x:v>统一过滤查询</x:v>
      </x:c>
      <x:c r="E59" s="42" t="str">
        <x:v>线程、事件、时间、DSO、执行类型。</x:v>
      </x:c>
      <x:c r="F59" s="42" t="str">
        <x:v>V0.1</x:v>
      </x:c>
      <x:c r="G59" s="42" t="str">
        <x:v>P0</x:v>
      </x:c>
      <x:c r="H59" s="42" t="str">
        <x:v>L</x:v>
      </x:c>
      <x:c r="I59" s="42" t="str">
        <x:v>P4-011</x:v>
      </x:c>
      <x:c r="J59" s="42" t="str">
        <x:v>页面结果使用同一语义</x:v>
      </x:c>
      <x:c r="K59" s="42" t="str">
        <x:v>组合过滤</x:v>
      </x:c>
      <x:c r="L59" s="42" t="str">
        <x:v>未开始</x:v>
      </x:c>
      <x:c r="M59" s="42" t="str">
        <x:v>未分配</x:v>
      </x:c>
      <x:c r="N59" s="43" t="str"/>
    </x:row>
    <x:row r="60">
      <x:c r="A60" s="41" t="str">
        <x:v>DB-011</x:v>
      </x:c>
      <x:c r="B60" s="42" t="str">
        <x:v>数据层</x:v>
      </x:c>
      <x:c r="C60" s="42" t="str">
        <x:v>会话</x:v>
      </x:c>
      <x:c r="D60" s="42" t="str">
        <x:v>重新打开Session</x:v>
      </x:c>
      <x:c r="E60" s="42" t="str">
        <x:v>从metadata和db恢复。</x:v>
      </x:c>
      <x:c r="F60" s="42" t="str">
        <x:v>V0.1</x:v>
      </x:c>
      <x:c r="G60" s="42" t="str">
        <x:v>P0</x:v>
      </x:c>
      <x:c r="H60" s="42" t="str">
        <x:v>M</x:v>
      </x:c>
      <x:c r="I60" s="42" t="str">
        <x:v>P4-012</x:v>
      </x:c>
      <x:c r="J60" s="42" t="str">
        <x:v>无需重新解析即可查看</x:v>
      </x:c>
      <x:c r="K60" s="42" t="str">
        <x:v>缺失文件、版本异常</x:v>
      </x:c>
      <x:c r="L60" s="42" t="str">
        <x:v>未开始</x:v>
      </x:c>
      <x:c r="M60" s="42" t="str">
        <x:v>未分配</x:v>
      </x:c>
      <x:c r="N60" s="43" t="str"/>
    </x:row>
    <x:row r="61">
      <x:c r="A61" s="41" t="str">
        <x:v>UI-001</x:v>
      </x:c>
      <x:c r="B61" s="42" t="str">
        <x:v>可视化</x:v>
      </x:c>
      <x:c r="C61" s="42" t="str">
        <x:v>Sessions</x:v>
      </x:c>
      <x:c r="D61" s="42" t="str">
        <x:v>Session列表</x:v>
      </x:c>
      <x:c r="E61" s="42" t="str">
        <x:v>查看、打开、重命名、删除和定位目录。</x:v>
      </x:c>
      <x:c r="F61" s="42" t="str">
        <x:v>V0.1</x:v>
      </x:c>
      <x:c r="G61" s="42" t="str">
        <x:v>P0</x:v>
      </x:c>
      <x:c r="H61" s="42" t="str">
        <x:v>M</x:v>
      </x:c>
      <x:c r="I61" s="42" t="str">
        <x:v>P5-002</x:v>
      </x:c>
      <x:c r="J61" s="42" t="str">
        <x:v>大列表可流畅滚动</x:v>
      </x:c>
      <x:c r="K61" s="42" t="str">
        <x:v>删除保护</x:v>
      </x:c>
      <x:c r="L61" s="42" t="str">
        <x:v>未开始</x:v>
      </x:c>
      <x:c r="M61" s="42" t="str">
        <x:v>未分配</x:v>
      </x:c>
      <x:c r="N61" s="43" t="str"/>
    </x:row>
    <x:row r="62">
      <x:c r="A62" s="41" t="str">
        <x:v>UI-002</x:v>
      </x:c>
      <x:c r="B62" s="42" t="str">
        <x:v>可视化</x:v>
      </x:c>
      <x:c r="C62" s="42" t="str">
        <x:v>Overview</x:v>
      </x:c>
      <x:c r="D62" s="42" t="str">
        <x:v>概览KPI</x:v>
      </x:c>
      <x:c r="E62" s="42" t="str">
        <x:v>样本、线程、Lost、Unknown、完整率。</x:v>
      </x:c>
      <x:c r="F62" s="42" t="str">
        <x:v>V0.1</x:v>
      </x:c>
      <x:c r="G62" s="42" t="str">
        <x:v>P0</x:v>
      </x:c>
      <x:c r="H62" s="42" t="str">
        <x:v>M</x:v>
      </x:c>
      <x:c r="I62" s="42" t="str">
        <x:v>P5-005</x:v>
      </x:c>
      <x:c r="J62" s="42" t="str">
        <x:v>值与数据库一致</x:v>
      </x:c>
      <x:c r="K62" s="42" t="str">
        <x:v>空数据、单事件</x:v>
      </x:c>
      <x:c r="L62" s="42" t="str">
        <x:v>未开始</x:v>
      </x:c>
      <x:c r="M62" s="42" t="str">
        <x:v>未分配</x:v>
      </x:c>
      <x:c r="N62" s="43" t="str"/>
    </x:row>
    <x:row r="63">
      <x:c r="A63" s="41" t="str">
        <x:v>UI-003</x:v>
      </x:c>
      <x:c r="B63" s="42" t="str">
        <x:v>可视化</x:v>
      </x:c>
      <x:c r="C63" s="42" t="str">
        <x:v>Threads</x:v>
      </x:c>
      <x:c r="D63" s="42" t="str">
        <x:v>线程表</x:v>
      </x:c>
      <x:c r="E63" s="42" t="str">
        <x:v>排序、搜索、占比和热点标记。</x:v>
      </x:c>
      <x:c r="F63" s="42" t="str">
        <x:v>V0.1</x:v>
      </x:c>
      <x:c r="G63" s="42" t="str">
        <x:v>P0</x:v>
      </x:c>
      <x:c r="H63" s="42" t="str">
        <x:v>M</x:v>
      </x:c>
      <x:c r="I63" s="42" t="str">
        <x:v>P5-006</x:v>
      </x:c>
      <x:c r="J63" s="42" t="str">
        <x:v>可跳转至线程FlameGraph</x:v>
      </x:c>
      <x:c r="K63" s="42" t="str">
        <x:v>大量线程</x:v>
      </x:c>
      <x:c r="L63" s="42" t="str">
        <x:v>未开始</x:v>
      </x:c>
      <x:c r="M63" s="42" t="str">
        <x:v>未分配</x:v>
      </x:c>
      <x:c r="N63" s="43" t="str"/>
    </x:row>
    <x:row r="64">
      <x:c r="A64" s="41" t="str">
        <x:v>UI-004</x:v>
      </x:c>
      <x:c r="B64" s="42" t="str">
        <x:v>可视化</x:v>
      </x:c>
      <x:c r="C64" s="42" t="str">
        <x:v>Functions</x:v>
      </x:c>
      <x:c r="D64" s="42" t="str">
        <x:v>Top Functions</x:v>
      </x:c>
      <x:c r="E64" s="42" t="str">
        <x:v>Self/Inclusive切换和过滤。</x:v>
      </x:c>
      <x:c r="F64" s="42" t="str">
        <x:v>V0.1</x:v>
      </x:c>
      <x:c r="G64" s="42" t="str">
        <x:v>P0</x:v>
      </x:c>
      <x:c r="H64" s="42" t="str">
        <x:v>M</x:v>
      </x:c>
      <x:c r="I64" s="42" t="str">
        <x:v>P5-007</x:v>
      </x:c>
      <x:c r="J64" s="42" t="str">
        <x:v>量纲和事件类型明确</x:v>
      </x:c>
      <x:c r="K64" s="42" t="str">
        <x:v>多事件</x:v>
      </x:c>
      <x:c r="L64" s="42" t="str">
        <x:v>未开始</x:v>
      </x:c>
      <x:c r="M64" s="42" t="str">
        <x:v>未分配</x:v>
      </x:c>
      <x:c r="N64" s="43" t="str"/>
    </x:row>
    <x:row r="65">
      <x:c r="A65" s="41" t="str">
        <x:v>UI-005</x:v>
      </x:c>
      <x:c r="B65" s="42" t="str">
        <x:v>可视化</x:v>
      </x:c>
      <x:c r="C65" s="42" t="str">
        <x:v>CallTree</x:v>
      </x:c>
      <x:c r="D65" s="42" t="str">
        <x:v>Top-down Call Tree</x:v>
      </x:c>
      <x:c r="E65" s="42" t="str">
        <x:v>从根向下展开调用路径。</x:v>
      </x:c>
      <x:c r="F65" s="42" t="str">
        <x:v>V0.1</x:v>
      </x:c>
      <x:c r="G65" s="42" t="str">
        <x:v>P0</x:v>
      </x:c>
      <x:c r="H65" s="42" t="str">
        <x:v>L</x:v>
      </x:c>
      <x:c r="I65" s="42" t="str">
        <x:v>P5-008</x:v>
      </x:c>
      <x:c r="J65" s="42" t="str">
        <x:v>懒加载且权重正确</x:v>
      </x:c>
      <x:c r="K65" s="42" t="str">
        <x:v>超大树</x:v>
      </x:c>
      <x:c r="L65" s="42" t="str">
        <x:v>未开始</x:v>
      </x:c>
      <x:c r="M65" s="42" t="str">
        <x:v>未分配</x:v>
      </x:c>
      <x:c r="N65" s="43" t="str"/>
    </x:row>
    <x:row r="66">
      <x:c r="A66" s="41" t="str">
        <x:v>UI-006</x:v>
      </x:c>
      <x:c r="B66" s="42" t="str">
        <x:v>可视化</x:v>
      </x:c>
      <x:c r="C66" s="42" t="str">
        <x:v>CallTree</x:v>
      </x:c>
      <x:c r="D66" s="42" t="str">
        <x:v>Bottom-up Call Tree</x:v>
      </x:c>
      <x:c r="E66" s="42" t="str">
        <x:v>从热点函数反查Caller。</x:v>
      </x:c>
      <x:c r="F66" s="42" t="str">
        <x:v>V0.1</x:v>
      </x:c>
      <x:c r="G66" s="42" t="str">
        <x:v>P1</x:v>
      </x:c>
      <x:c r="H66" s="42" t="str">
        <x:v>L</x:v>
      </x:c>
      <x:c r="I66" s="42" t="str">
        <x:v>P5-009</x:v>
      </x:c>
      <x:c r="J66" s="42" t="str">
        <x:v>Caller聚合正确</x:v>
      </x:c>
      <x:c r="K66" s="42" t="str">
        <x:v>递归和多路径</x:v>
      </x:c>
      <x:c r="L66" s="42" t="str">
        <x:v>未开始</x:v>
      </x:c>
      <x:c r="M66" s="42" t="str">
        <x:v>未分配</x:v>
      </x:c>
      <x:c r="N66" s="43" t="str"/>
    </x:row>
    <x:row r="67">
      <x:c r="A67" s="41" t="str">
        <x:v>UI-007</x:v>
      </x:c>
      <x:c r="B67" s="42" t="str">
        <x:v>可视化</x:v>
      </x:c>
      <x:c r="C67" s="42" t="str">
        <x:v>FlameGraph</x:v>
      </x:c>
      <x:c r="D67" s="42" t="str">
        <x:v>正向火焰图</x:v>
      </x:c>
      <x:c r="E67" s="42" t="str">
        <x:v>以Callsite树绘制聚合矩形。</x:v>
      </x:c>
      <x:c r="F67" s="42" t="str">
        <x:v>V0.1</x:v>
      </x:c>
      <x:c r="G67" s="42" t="str">
        <x:v>P0</x:v>
      </x:c>
      <x:c r="H67" s="42" t="str">
        <x:v>XL</x:v>
      </x:c>
      <x:c r="I67" s="42" t="str">
        <x:v>P5-010,P5-011</x:v>
      </x:c>
      <x:c r="J67" s="42" t="str">
        <x:v>十万节点可交互</x:v>
      </x:c>
      <x:c r="K67" s="42" t="str">
        <x:v>渲染性能</x:v>
      </x:c>
      <x:c r="L67" s="42" t="str">
        <x:v>未开始</x:v>
      </x:c>
      <x:c r="M67" s="42" t="str">
        <x:v>未分配</x:v>
      </x:c>
      <x:c r="N67" s="43" t="str"/>
    </x:row>
    <x:row r="68">
      <x:c r="A68" s="41" t="str">
        <x:v>UI-008</x:v>
      </x:c>
      <x:c r="B68" s="42" t="str">
        <x:v>可视化</x:v>
      </x:c>
      <x:c r="C68" s="42" t="str">
        <x:v>FlameGraph</x:v>
      </x:c>
      <x:c r="D68" s="42" t="str">
        <x:v>反向火焰图</x:v>
      </x:c>
      <x:c r="E68" s="42" t="str">
        <x:v>从热点叶节点聚合调用者。</x:v>
      </x:c>
      <x:c r="F68" s="42" t="str">
        <x:v>V0.1</x:v>
      </x:c>
      <x:c r="G68" s="42" t="str">
        <x:v>P1</x:v>
      </x:c>
      <x:c r="H68" s="42" t="str">
        <x:v>L</x:v>
      </x:c>
      <x:c r="I68" s="42" t="str">
        <x:v>P5-010</x:v>
      </x:c>
      <x:c r="J68" s="42" t="str">
        <x:v>与Bottom-up语义一致</x:v>
      </x:c>
      <x:c r="K68" s="42" t="str">
        <x:v>多Caller</x:v>
      </x:c>
      <x:c r="L68" s="42" t="str">
        <x:v>未开始</x:v>
      </x:c>
      <x:c r="M68" s="42" t="str">
        <x:v>未分配</x:v>
      </x:c>
      <x:c r="N68" s="43" t="str"/>
    </x:row>
    <x:row r="69">
      <x:c r="A69" s="41" t="str">
        <x:v>UI-009</x:v>
      </x:c>
      <x:c r="B69" s="42" t="str">
        <x:v>可视化</x:v>
      </x:c>
      <x:c r="C69" s="42" t="str">
        <x:v>FlameGraph</x:v>
      </x:c>
      <x:c r="D69" s="42" t="str">
        <x:v>缩放平移下钻</x:v>
      </x:c>
      <x:c r="E69" s="42" t="str">
        <x:v>滚轮缩放、拖动、下钻、返回。</x:v>
      </x:c>
      <x:c r="F69" s="42" t="str">
        <x:v>V0.1</x:v>
      </x:c>
      <x:c r="G69" s="42" t="str">
        <x:v>P0</x:v>
      </x:c>
      <x:c r="H69" s="42" t="str">
        <x:v>M</x:v>
      </x:c>
      <x:c r="I69" s="42" t="str">
        <x:v>P5-012</x:v>
      </x:c>
      <x:c r="J69" s="42" t="str">
        <x:v>交互稳定可复位</x:v>
      </x:c>
      <x:c r="K69" s="42" t="str">
        <x:v>高DPI和触控板</x:v>
      </x:c>
      <x:c r="L69" s="42" t="str">
        <x:v>未开始</x:v>
      </x:c>
      <x:c r="M69" s="42" t="str">
        <x:v>未分配</x:v>
      </x:c>
      <x:c r="N69" s="43" t="str"/>
    </x:row>
    <x:row r="70">
      <x:c r="A70" s="41" t="str">
        <x:v>UI-010</x:v>
      </x:c>
      <x:c r="B70" s="42" t="str">
        <x:v>可视化</x:v>
      </x:c>
      <x:c r="C70" s="42" t="str">
        <x:v>FlameGraph</x:v>
      </x:c>
      <x:c r="D70" s="42" t="str">
        <x:v>搜索高亮</x:v>
      </x:c>
      <x:c r="E70" s="42" t="str">
        <x:v>函数搜索、命中数、定位。</x:v>
      </x:c>
      <x:c r="F70" s="42" t="str">
        <x:v>V0.1</x:v>
      </x:c>
      <x:c r="G70" s="42" t="str">
        <x:v>P1</x:v>
      </x:c>
      <x:c r="H70" s="42" t="str">
        <x:v>M</x:v>
      </x:c>
      <x:c r="I70" s="42" t="str">
        <x:v>P5-013</x:v>
      </x:c>
      <x:c r="J70" s="42" t="str">
        <x:v>匹配规则明确</x:v>
      </x:c>
      <x:c r="K70" s="42" t="str">
        <x:v>中文/符号/长名称</x:v>
      </x:c>
      <x:c r="L70" s="42" t="str">
        <x:v>未开始</x:v>
      </x:c>
      <x:c r="M70" s="42" t="str">
        <x:v>未分配</x:v>
      </x:c>
      <x:c r="N70" s="43" t="str"/>
    </x:row>
    <x:row r="71">
      <x:c r="A71" s="41" t="str">
        <x:v>UI-011</x:v>
      </x:c>
      <x:c r="B71" s="42" t="str">
        <x:v>可视化</x:v>
      </x:c>
      <x:c r="C71" s="42" t="str">
        <x:v>过滤</x:v>
      </x:c>
      <x:c r="D71" s="42" t="str">
        <x:v>全局过滤器</x:v>
      </x:c>
      <x:c r="E71" s="42" t="str">
        <x:v>线程、时间、事件、DSO、执行类型。</x:v>
      </x:c>
      <x:c r="F71" s="42" t="str">
        <x:v>V0.1</x:v>
      </x:c>
      <x:c r="G71" s="42" t="str">
        <x:v>P0</x:v>
      </x:c>
      <x:c r="H71" s="42" t="str">
        <x:v>L</x:v>
      </x:c>
      <x:c r="I71" s="42" t="str">
        <x:v>P5-014</x:v>
      </x:c>
      <x:c r="J71" s="42" t="str">
        <x:v>所有页面联动同一过滤条件</x:v>
      </x:c>
      <x:c r="K71" s="42" t="str">
        <x:v>组合条件</x:v>
      </x:c>
      <x:c r="L71" s="42" t="str">
        <x:v>未开始</x:v>
      </x:c>
      <x:c r="M71" s="42" t="str">
        <x:v>未分配</x:v>
      </x:c>
      <x:c r="N71" s="43" t="str"/>
    </x:row>
    <x:row r="72">
      <x:c r="A72" s="41" t="str">
        <x:v>UI-012</x:v>
      </x:c>
      <x:c r="B72" s="42" t="str">
        <x:v>可视化</x:v>
      </x:c>
      <x:c r="C72" s="42" t="str">
        <x:v>Timeline</x:v>
      </x:c>
      <x:c r="D72" s="42" t="str">
        <x:v>Sample时间线</x:v>
      </x:c>
      <x:c r="E72" s="42" t="str">
        <x:v>按线程绘制Sample与ContextSwitch。</x:v>
      </x:c>
      <x:c r="F72" s="42" t="str">
        <x:v>V0.1</x:v>
      </x:c>
      <x:c r="G72" s="42" t="str">
        <x:v>P1</x:v>
      </x:c>
      <x:c r="H72" s="42" t="str">
        <x:v>XL</x:v>
      </x:c>
      <x:c r="I72" s="42" t="str">
        <x:v>P5-015</x:v>
      </x:c>
      <x:c r="J72" s="42" t="str">
        <x:v>可框选时间并联动报告</x:v>
      </x:c>
      <x:c r="K72" s="42" t="str">
        <x:v>百万点降采样</x:v>
      </x:c>
      <x:c r="L72" s="42" t="str">
        <x:v>未开始</x:v>
      </x:c>
      <x:c r="M72" s="42" t="str">
        <x:v>未分配</x:v>
      </x:c>
      <x:c r="N72" s="43" t="str"/>
    </x:row>
    <x:row r="73">
      <x:c r="A73" s="41" t="str">
        <x:v>UI-013</x:v>
      </x:c>
      <x:c r="B73" s="42" t="str">
        <x:v>可视化</x:v>
      </x:c>
      <x:c r="C73" s="42" t="str">
        <x:v>Symbols</x:v>
      </x:c>
      <x:c r="D73" s="42" t="str">
        <x:v>符号质量页</x:v>
      </x:c>
      <x:c r="E73" s="42" t="str">
        <x:v>显示DSO、符号数量和Unknown来源。</x:v>
      </x:c>
      <x:c r="F73" s="42" t="str">
        <x:v>V0.1</x:v>
      </x:c>
      <x:c r="G73" s="42" t="str">
        <x:v>P1</x:v>
      </x:c>
      <x:c r="H73" s="42" t="str">
        <x:v>M</x:v>
      </x:c>
      <x:c r="I73" s="42" t="str">
        <x:v>P5-016</x:v>
      </x:c>
      <x:c r="J73" s="42" t="str">
        <x:v>可指导重新转换</x:v>
      </x:c>
      <x:c r="K73" s="42" t="str">
        <x:v>Unknown分类</x:v>
      </x:c>
      <x:c r="L73" s="42" t="str">
        <x:v>未开始</x:v>
      </x:c>
      <x:c r="M73" s="42" t="str">
        <x:v>未分配</x:v>
      </x:c>
      <x:c r="N73" s="43" t="str"/>
    </x:row>
    <x:row r="74">
      <x:c r="A74" s="41" t="str">
        <x:v>UI-014</x:v>
      </x:c>
      <x:c r="B74" s="42" t="str">
        <x:v>可视化</x:v>
      </x:c>
      <x:c r="C74" s="42" t="str">
        <x:v>导入</x:v>
      </x:c>
      <x:c r="D74" s="42" t="str">
        <x:v>离线导入向导</x:v>
      </x:c>
      <x:c r="E74" s="42" t="str">
        <x:v>导入perf.data、symdir、mapping。</x:v>
      </x:c>
      <x:c r="F74" s="42" t="str">
        <x:v>V0.1</x:v>
      </x:c>
      <x:c r="G74" s="42" t="str">
        <x:v>P0</x:v>
      </x:c>
      <x:c r="H74" s="42" t="str">
        <x:v>L</x:v>
      </x:c>
      <x:c r="I74" s="42" t="str">
        <x:v>P5-018</x:v>
      </x:c>
      <x:c r="J74" s="42" t="str">
        <x:v>无设备也可完成报告</x:v>
      </x:c>
      <x:c r="K74" s="42" t="str">
        <x:v>损坏文件</x:v>
      </x:c>
      <x:c r="L74" s="42" t="str">
        <x:v>未开始</x:v>
      </x:c>
      <x:c r="M74" s="42" t="str">
        <x:v>未分配</x:v>
      </x:c>
      <x:c r="N74" s="43" t="str"/>
    </x:row>
    <x:row r="75">
      <x:c r="A75" s="41" t="str">
        <x:v>UI-015</x:v>
      </x:c>
      <x:c r="B75" s="42" t="str">
        <x:v>可视化</x:v>
      </x:c>
      <x:c r="C75" s="42" t="str">
        <x:v>导出</x:v>
      </x:c>
      <x:c r="D75" s="42" t="str">
        <x:v>CSV导出</x:v>
      </x:c>
      <x:c r="E75" s="42" t="str">
        <x:v>导出线程和函数数据。</x:v>
      </x:c>
      <x:c r="F75" s="42" t="str">
        <x:v>V0.1</x:v>
      </x:c>
      <x:c r="G75" s="42" t="str">
        <x:v>P1</x:v>
      </x:c>
      <x:c r="H75" s="42" t="str">
        <x:v>S</x:v>
      </x:c>
      <x:c r="I75" s="42" t="str">
        <x:v>P5-019</x:v>
      </x:c>
      <x:c r="J75" s="42" t="str">
        <x:v>按当前过滤导出并记录条件</x:v>
      </x:c>
      <x:c r="K75" s="42" t="str">
        <x:v>编码和大数据</x:v>
      </x:c>
      <x:c r="L75" s="42" t="str">
        <x:v>未开始</x:v>
      </x:c>
      <x:c r="M75" s="42" t="str">
        <x:v>未分配</x:v>
      </x:c>
      <x:c r="N75" s="43" t="str"/>
    </x:row>
    <x:row r="76">
      <x:c r="A76" s="41" t="str">
        <x:v>ANA-001</x:v>
      </x:c>
      <x:c r="B76" s="42" t="str">
        <x:v>自动分析</x:v>
      </x:c>
      <x:c r="C76" s="42" t="str">
        <x:v>框架</x:v>
      </x:c>
      <x:c r="D76" s="42" t="str">
        <x:v>规则执行框架</x:v>
      </x:c>
      <x:c r="E76" s="42" t="str">
        <x:v>隔离运行、排序和结果持久化。</x:v>
      </x:c>
      <x:c r="F76" s="42" t="str">
        <x:v>V0.1</x:v>
      </x:c>
      <x:c r="G76" s="42" t="str">
        <x:v>P0</x:v>
      </x:c>
      <x:c r="H76" s="42" t="str">
        <x:v>L</x:v>
      </x:c>
      <x:c r="I76" s="42" t="str">
        <x:v>P6-001</x:v>
      </x:c>
      <x:c r="J76" s="42" t="str">
        <x:v>单规则失败不影响整体</x:v>
      </x:c>
      <x:c r="K76" s="42" t="str">
        <x:v>异常规则</x:v>
      </x:c>
      <x:c r="L76" s="42" t="str">
        <x:v>未开始</x:v>
      </x:c>
      <x:c r="M76" s="42" t="str">
        <x:v>未分配</x:v>
      </x:c>
      <x:c r="N76" s="43" t="str"/>
    </x:row>
    <x:row r="77">
      <x:c r="A77" s="41" t="str">
        <x:v>ANA-002</x:v>
      </x:c>
      <x:c r="B77" s="42" t="str">
        <x:v>自动分析</x:v>
      </x:c>
      <x:c r="C77" s="42" t="str">
        <x:v>证据</x:v>
      </x:c>
      <x:c r="D77" s="42" t="str">
        <x:v>证据链</x:v>
      </x:c>
      <x:c r="E77" s="42" t="str">
        <x:v>链接到线程、函数、调用树和过滤条件。</x:v>
      </x:c>
      <x:c r="F77" s="42" t="str">
        <x:v>V0.1</x:v>
      </x:c>
      <x:c r="G77" s="42" t="str">
        <x:v>P0</x:v>
      </x:c>
      <x:c r="H77" s="42" t="str">
        <x:v>M</x:v>
      </x:c>
      <x:c r="I77" s="42" t="str">
        <x:v>P6-002</x:v>
      </x:c>
      <x:c r="J77" s="42" t="str">
        <x:v>诊断可被用户复查</x:v>
      </x:c>
      <x:c r="K77" s="42" t="str">
        <x:v>数据被删除</x:v>
      </x:c>
      <x:c r="L77" s="42" t="str">
        <x:v>未开始</x:v>
      </x:c>
      <x:c r="M77" s="42" t="str">
        <x:v>未分配</x:v>
      </x:c>
      <x:c r="N77" s="43" t="str"/>
    </x:row>
    <x:row r="78">
      <x:c r="A78" s="41" t="str">
        <x:v>ANA-003</x:v>
      </x:c>
      <x:c r="B78" s="42" t="str">
        <x:v>自动分析</x:v>
      </x:c>
      <x:c r="C78" s="42" t="str">
        <x:v>质量</x:v>
      </x:c>
      <x:c r="D78" s="42" t="str">
        <x:v>Lost Sample规则</x:v>
      </x:c>
      <x:c r="E78" s="42" t="str">
        <x:v>按比例给出严重级别。</x:v>
      </x:c>
      <x:c r="F78" s="42" t="str">
        <x:v>V0.1</x:v>
      </x:c>
      <x:c r="G78" s="42" t="str">
        <x:v>P0</x:v>
      </x:c>
      <x:c r="H78" s="42" t="str">
        <x:v>S</x:v>
      </x:c>
      <x:c r="I78" s="42" t="str">
        <x:v>P6-003</x:v>
      </x:c>
      <x:c r="J78" s="42" t="str">
        <x:v>证据包含原始数量</x:v>
      </x:c>
      <x:c r="K78" s="42" t="str">
        <x:v>阈值边界</x:v>
      </x:c>
      <x:c r="L78" s="42" t="str">
        <x:v>未开始</x:v>
      </x:c>
      <x:c r="M78" s="42" t="str">
        <x:v>未分配</x:v>
      </x:c>
      <x:c r="N78" s="43" t="str"/>
    </x:row>
    <x:row r="79">
      <x:c r="A79" s="41" t="str">
        <x:v>ANA-004</x:v>
      </x:c>
      <x:c r="B79" s="42" t="str">
        <x:v>自动分析</x:v>
      </x:c>
      <x:c r="C79" s="42" t="str">
        <x:v>质量</x:v>
      </x:c>
      <x:c r="D79" s="42" t="str">
        <x:v>Unknown Symbol规则</x:v>
      </x:c>
      <x:c r="E79" s="42" t="str">
        <x:v>按线程和DSO定位。</x:v>
      </x:c>
      <x:c r="F79" s="42" t="str">
        <x:v>V0.1</x:v>
      </x:c>
      <x:c r="G79" s="42" t="str">
        <x:v>P0</x:v>
      </x:c>
      <x:c r="H79" s="42" t="str">
        <x:v>M</x:v>
      </x:c>
      <x:c r="I79" s="42" t="str">
        <x:v>P6-004</x:v>
      </x:c>
      <x:c r="J79" s="42" t="str">
        <x:v>能给出主要Unknown来源</x:v>
      </x:c>
      <x:c r="K79" s="42" t="str">
        <x:v>无符号数据</x:v>
      </x:c>
      <x:c r="L79" s="42" t="str">
        <x:v>未开始</x:v>
      </x:c>
      <x:c r="M79" s="42" t="str">
        <x:v>未分配</x:v>
      </x:c>
      <x:c r="N79" s="43" t="str"/>
    </x:row>
    <x:row r="80">
      <x:c r="A80" s="41" t="str">
        <x:v>ANA-005</x:v>
      </x:c>
      <x:c r="B80" s="42" t="str">
        <x:v>自动分析</x:v>
      </x:c>
      <x:c r="C80" s="42" t="str">
        <x:v>质量</x:v>
      </x:c>
      <x:c r="D80" s="42" t="str">
        <x:v>Unwind质量规则</x:v>
      </x:c>
      <x:c r="E80" s="42" t="str">
        <x:v>空栈、浅栈、错误类型。</x:v>
      </x:c>
      <x:c r="F80" s="42" t="str">
        <x:v>V0.1</x:v>
      </x:c>
      <x:c r="G80" s="42" t="str">
        <x:v>P0</x:v>
      </x:c>
      <x:c r="H80" s="42" t="str">
        <x:v>M</x:v>
      </x:c>
      <x:c r="I80" s="42" t="str">
        <x:v>P6-005</x:v>
      </x:c>
      <x:c r="J80" s="42" t="str">
        <x:v>限制说明影响置信度</x:v>
      </x:c>
      <x:c r="K80" s="42" t="str">
        <x:v>多种错误混合</x:v>
      </x:c>
      <x:c r="L80" s="42" t="str">
        <x:v>未开始</x:v>
      </x:c>
      <x:c r="M80" s="42" t="str">
        <x:v>未分配</x:v>
      </x:c>
      <x:c r="N80" s="43" t="str"/>
    </x:row>
    <x:row r="81">
      <x:c r="A81" s="41" t="str">
        <x:v>ANA-006</x:v>
      </x:c>
      <x:c r="B81" s="42" t="str">
        <x:v>自动分析</x:v>
      </x:c>
      <x:c r="C81" s="42" t="str">
        <x:v>热点</x:v>
      </x:c>
      <x:c r="D81" s="42" t="str">
        <x:v>高Self CPU规则</x:v>
      </x:c>
      <x:c r="E81" s="42" t="str">
        <x:v>识别函数自身CPU热点。</x:v>
      </x:c>
      <x:c r="F81" s="42" t="str">
        <x:v>V0.1</x:v>
      </x:c>
      <x:c r="G81" s="42" t="str">
        <x:v>P0</x:v>
      </x:c>
      <x:c r="H81" s="42" t="str">
        <x:v>M</x:v>
      </x:c>
      <x:c r="I81" s="42" t="str">
        <x:v>P6-006</x:v>
      </x:c>
      <x:c r="J81" s="42" t="str">
        <x:v>按事件独立计算</x:v>
      </x:c>
      <x:c r="K81" s="42" t="str">
        <x:v>权重极度倾斜</x:v>
      </x:c>
      <x:c r="L81" s="42" t="str">
        <x:v>未开始</x:v>
      </x:c>
      <x:c r="M81" s="42" t="str">
        <x:v>未分配</x:v>
      </x:c>
      <x:c r="N81" s="43" t="str"/>
    </x:row>
    <x:row r="82">
      <x:c r="A82" s="41" t="str">
        <x:v>ANA-007</x:v>
      </x:c>
      <x:c r="B82" s="42" t="str">
        <x:v>自动分析</x:v>
      </x:c>
      <x:c r="C82" s="42" t="str">
        <x:v>热点</x:v>
      </x:c>
      <x:c r="D82" s="42" t="str">
        <x:v>高Inclusive路径规则</x:v>
      </x:c>
      <x:c r="E82" s="42" t="str">
        <x:v>识别累计调用路径热点。</x:v>
      </x:c>
      <x:c r="F82" s="42" t="str">
        <x:v>V0.1</x:v>
      </x:c>
      <x:c r="G82" s="42" t="str">
        <x:v>P0</x:v>
      </x:c>
      <x:c r="H82" s="42" t="str">
        <x:v>L</x:v>
      </x:c>
      <x:c r="I82" s="42" t="str">
        <x:v>P6-007</x:v>
      </x:c>
      <x:c r="J82" s="42" t="str">
        <x:v>输出可展开路径</x:v>
      </x:c>
      <x:c r="K82" s="42" t="str">
        <x:v>重复相似路径</x:v>
      </x:c>
      <x:c r="L82" s="42" t="str">
        <x:v>未开始</x:v>
      </x:c>
      <x:c r="M82" s="42" t="str">
        <x:v>未分配</x:v>
      </x:c>
      <x:c r="N82" s="43" t="str"/>
    </x:row>
    <x:row r="83">
      <x:c r="A83" s="41" t="str">
        <x:v>ANA-008</x:v>
      </x:c>
      <x:c r="B83" s="42" t="str">
        <x:v>自动分析</x:v>
      </x:c>
      <x:c r="C83" s="42" t="str">
        <x:v>线程</x:v>
      </x:c>
      <x:c r="D83" s="42" t="str">
        <x:v>线程CPU集中度</x:v>
      </x:c>
      <x:c r="E83" s="42" t="str">
        <x:v>识别主线程或单线程集中。</x:v>
      </x:c>
      <x:c r="F83" s="42" t="str">
        <x:v>V0.1</x:v>
      </x:c>
      <x:c r="G83" s="42" t="str">
        <x:v>P1</x:v>
      </x:c>
      <x:c r="H83" s="42" t="str">
        <x:v>M</x:v>
      </x:c>
      <x:c r="I83" s="42" t="str">
        <x:v>P6-008</x:v>
      </x:c>
      <x:c r="J83" s="42" t="str">
        <x:v>进程内/全局口径明确</x:v>
      </x:c>
      <x:c r="K83" s="42" t="str">
        <x:v>单线程应用</x:v>
      </x:c>
      <x:c r="L83" s="42" t="str">
        <x:v>未开始</x:v>
      </x:c>
      <x:c r="M83" s="42" t="str">
        <x:v>未分配</x:v>
      </x:c>
      <x:c r="N83" s="43" t="str"/>
    </x:row>
    <x:row r="84">
      <x:c r="A84" s="41" t="str">
        <x:v>ANA-009</x:v>
      </x:c>
      <x:c r="B84" s="42" t="str">
        <x:v>自动分析</x:v>
      </x:c>
      <x:c r="C84" s="42" t="str">
        <x:v>Android</x:v>
      </x:c>
      <x:c r="D84" s="42" t="str">
        <x:v>主线程Traversal规则</x:v>
      </x:c>
      <x:c r="E84" s="42" t="str">
        <x:v>识别measure/layout/draw调用链。</x:v>
      </x:c>
      <x:c r="F84" s="42" t="str">
        <x:v>V0.1</x:v>
      </x:c>
      <x:c r="G84" s="42" t="str">
        <x:v>P0</x:v>
      </x:c>
      <x:c r="H84" s="42" t="str">
        <x:v>L</x:v>
      </x:c>
      <x:c r="I84" s="42" t="str">
        <x:v>P6-009</x:v>
      </x:c>
      <x:c r="J84" s="42" t="str">
        <x:v>不把样本权重称为精确耗时</x:v>
      </x:c>
      <x:c r="K84" s="42" t="str">
        <x:v>不同Android版本符号</x:v>
      </x:c>
      <x:c r="L84" s="42" t="str">
        <x:v>未开始</x:v>
      </x:c>
      <x:c r="M84" s="42" t="str">
        <x:v>未分配</x:v>
      </x:c>
      <x:c r="N84" s="43" t="str"/>
    </x:row>
    <x:row r="85">
      <x:c r="A85" s="41" t="str">
        <x:v>ANA-010</x:v>
      </x:c>
      <x:c r="B85" s="42" t="str">
        <x:v>自动分析</x:v>
      </x:c>
      <x:c r="C85" s="42" t="str">
        <x:v>Android</x:v>
      </x:c>
      <x:c r="D85" s="42" t="str">
        <x:v>RenderThread规则</x:v>
      </x:c>
      <x:c r="E85" s="42" t="str">
        <x:v>识别Skia/GLES/Vulkan/提交热点。</x:v>
      </x:c>
      <x:c r="F85" s="42" t="str">
        <x:v>V0.1</x:v>
      </x:c>
      <x:c r="G85" s="42" t="str">
        <x:v>P0</x:v>
      </x:c>
      <x:c r="H85" s="42" t="str">
        <x:v>L</x:v>
      </x:c>
      <x:c r="I85" s="42" t="str">
        <x:v>P6-010</x:v>
      </x:c>
      <x:c r="J85" s="42" t="str">
        <x:v>区分CPU计算和驱动入口</x:v>
      </x:c>
      <x:c r="K85" s="42" t="str">
        <x:v>OEM符号差异</x:v>
      </x:c>
      <x:c r="L85" s="42" t="str">
        <x:v>未开始</x:v>
      </x:c>
      <x:c r="M85" s="42" t="str">
        <x:v>未分配</x:v>
      </x:c>
      <x:c r="N85" s="43" t="str"/>
    </x:row>
    <x:row r="86">
      <x:c r="A86" s="41" t="str">
        <x:v>ANA-011</x:v>
      </x:c>
      <x:c r="B86" s="42" t="str">
        <x:v>自动分析</x:v>
      </x:c>
      <x:c r="C86" s="42" t="str">
        <x:v>Android</x:v>
      </x:c>
      <x:c r="D86" s="42" t="str">
        <x:v>Binder热点规则</x:v>
      </x:c>
      <x:c r="E86" s="42" t="str">
        <x:v>识别同步Binder相关CPU热点。</x:v>
      </x:c>
      <x:c r="F86" s="42" t="str">
        <x:v>V0.1</x:v>
      </x:c>
      <x:c r="G86" s="42" t="str">
        <x:v>P1</x:v>
      </x:c>
      <x:c r="H86" s="42" t="str">
        <x:v>M</x:v>
      </x:c>
      <x:c r="I86" s="42" t="str">
        <x:v>P6-011</x:v>
      </x:c>
      <x:c r="J86" s="42" t="str">
        <x:v>不误判Binder等待时长</x:v>
      </x:c>
      <x:c r="K86" s="42" t="str">
        <x:v>Java/Native Binder路径</x:v>
      </x:c>
      <x:c r="L86" s="42" t="str">
        <x:v>未开始</x:v>
      </x:c>
      <x:c r="M86" s="42" t="str">
        <x:v>未分配</x:v>
      </x:c>
      <x:c r="N86" s="43" t="str"/>
    </x:row>
    <x:row r="87">
      <x:c r="A87" s="41" t="str">
        <x:v>ANA-012</x:v>
      </x:c>
      <x:c r="B87" s="42" t="str">
        <x:v>自动分析</x:v>
      </x:c>
      <x:c r="C87" s="42" t="str">
        <x:v>Android</x:v>
      </x:c>
      <x:c r="D87" s="42" t="str">
        <x:v>ART/GC规则</x:v>
      </x:c>
      <x:c r="E87" s="42" t="str">
        <x:v>识别GC、分配、JIT和类加载。</x:v>
      </x:c>
      <x:c r="F87" s="42" t="str">
        <x:v>V0.1</x:v>
      </x:c>
      <x:c r="G87" s="42" t="str">
        <x:v>P1</x:v>
      </x:c>
      <x:c r="H87" s="42" t="str">
        <x:v>M</x:v>
      </x:c>
      <x:c r="I87" s="42" t="str">
        <x:v>P6-012</x:v>
      </x:c>
      <x:c r="J87" s="42" t="str">
        <x:v>结果有函数证据</x:v>
      </x:c>
      <x:c r="K87" s="42" t="str">
        <x:v>ART版本差异</x:v>
      </x:c>
      <x:c r="L87" s="42" t="str">
        <x:v>未开始</x:v>
      </x:c>
      <x:c r="M87" s="42" t="str">
        <x:v>未分配</x:v>
      </x:c>
      <x:c r="N87" s="43" t="str"/>
    </x:row>
    <x:row r="88">
      <x:c r="A88" s="41" t="str">
        <x:v>ANA-013</x:v>
      </x:c>
      <x:c r="B88" s="42" t="str">
        <x:v>自动分析</x:v>
      </x:c>
      <x:c r="C88" s="42" t="str">
        <x:v>输出</x:v>
      </x:c>
      <x:c r="D88" s="42" t="str">
        <x:v>工程置信度</x:v>
      </x:c>
      <x:c r="E88" s="42" t="str">
        <x:v>综合数据质量和证据强度。</x:v>
      </x:c>
      <x:c r="F88" s="42" t="str">
        <x:v>V0.1</x:v>
      </x:c>
      <x:c r="G88" s="42" t="str">
        <x:v>P1</x:v>
      </x:c>
      <x:c r="H88" s="42" t="str">
        <x:v>M</x:v>
      </x:c>
      <x:c r="I88" s="42" t="str">
        <x:v>P6-014</x:v>
      </x:c>
      <x:c r="J88" s="42" t="str">
        <x:v>评分因子可解释</x:v>
      </x:c>
      <x:c r="K88" s="42" t="str">
        <x:v>低质量数据</x:v>
      </x:c>
      <x:c r="L88" s="42" t="str">
        <x:v>未开始</x:v>
      </x:c>
      <x:c r="M88" s="42" t="str">
        <x:v>未分配</x:v>
      </x:c>
      <x:c r="N88" s="43" t="str"/>
    </x:row>
    <x:row r="89">
      <x:c r="A89" s="41" t="str">
        <x:v>ANA-014</x:v>
      </x:c>
      <x:c r="B89" s="42" t="str">
        <x:v>自动分析</x:v>
      </x:c>
      <x:c r="C89" s="42" t="str">
        <x:v>输出</x:v>
      </x:c>
      <x:c r="D89" s="42" t="str">
        <x:v>建议模板</x:v>
      </x:c>
      <x:c r="E89" s="42" t="str">
        <x:v>按证据给出后续检查和优化方向。</x:v>
      </x:c>
      <x:c r="F89" s="42" t="str">
        <x:v>V0.1</x:v>
      </x:c>
      <x:c r="G89" s="42" t="str">
        <x:v>P1</x:v>
      </x:c>
      <x:c r="H89" s="42" t="str">
        <x:v>M</x:v>
      </x:c>
      <x:c r="I89" s="42" t="str">
        <x:v>P6-013</x:v>
      </x:c>
      <x:c r="J89" s="42" t="str">
        <x:v>建议有边界且可执行</x:v>
      </x:c>
      <x:c r="K89" s="42" t="str">
        <x:v>建议过度泛化</x:v>
      </x:c>
      <x:c r="L89" s="42" t="str">
        <x:v>未开始</x:v>
      </x:c>
      <x:c r="M89" s="42" t="str">
        <x:v>未分配</x:v>
      </x:c>
      <x:c r="N89" s="43" t="str"/>
    </x:row>
    <x:row r="90">
      <x:c r="A90" s="41" t="str">
        <x:v>REL-001</x:v>
      </x:c>
      <x:c r="B90" s="42" t="str">
        <x:v>发布运维</x:v>
      </x:c>
      <x:c r="C90" s="42" t="str">
        <x:v>Session</x:v>
      </x:c>
      <x:c r="D90" s="42" t="str">
        <x:v>Session导出包</x:v>
      </x:c>
      <x:c r="E90" s="42" t="str">
        <x:v>打包原始数据、数据库和元数据。</x:v>
      </x:c>
      <x:c r="F90" s="42" t="str">
        <x:v>V0.1</x:v>
      </x:c>
      <x:c r="G90" s="42" t="str">
        <x:v>P1</x:v>
      </x:c>
      <x:c r="H90" s="42" t="str">
        <x:v>L</x:v>
      </x:c>
      <x:c r="I90" s="42" t="str">
        <x:v>P7-001</x:v>
      </x:c>
      <x:c r="J90" s="42" t="str">
        <x:v>导入后统计一致</x:v>
      </x:c>
      <x:c r="K90" s="42" t="str">
        <x:v>WAL和大文件</x:v>
      </x:c>
      <x:c r="L90" s="42" t="str">
        <x:v>未开始</x:v>
      </x:c>
      <x:c r="M90" s="42" t="str">
        <x:v>未分配</x:v>
      </x:c>
      <x:c r="N90" s="43" t="str"/>
    </x:row>
    <x:row r="91">
      <x:c r="A91" s="41" t="str">
        <x:v>REL-002</x:v>
      </x:c>
      <x:c r="B91" s="42" t="str">
        <x:v>发布运维</x:v>
      </x:c>
      <x:c r="C91" s="42" t="str">
        <x:v>恢复</x:v>
      </x:c>
      <x:c r="D91" s="42" t="str">
        <x:v>异常Session恢复</x:v>
      </x:c>
      <x:c r="E91" s="42" t="str">
        <x:v>识别未完成阶段并重试。</x:v>
      </x:c>
      <x:c r="F91" s="42" t="str">
        <x:v>V0.1</x:v>
      </x:c>
      <x:c r="G91" s="42" t="str">
        <x:v>P0</x:v>
      </x:c>
      <x:c r="H91" s="42" t="str">
        <x:v>L</x:v>
      </x:c>
      <x:c r="I91" s="42" t="str">
        <x:v>P7-002</x:v>
      </x:c>
      <x:c r="J91" s="42" t="str">
        <x:v>原始perf.data不丢失</x:v>
      </x:c>
      <x:c r="K91" s="42" t="str">
        <x:v>强退/断电</x:v>
      </x:c>
      <x:c r="L91" s="42" t="str">
        <x:v>未开始</x:v>
      </x:c>
      <x:c r="M91" s="42" t="str">
        <x:v>未分配</x:v>
      </x:c>
      <x:c r="N91" s="43" t="str"/>
    </x:row>
    <x:row r="92">
      <x:c r="A92" s="41" t="str">
        <x:v>REL-003</x:v>
      </x:c>
      <x:c r="B92" s="42" t="str">
        <x:v>发布运维</x:v>
      </x:c>
      <x:c r="C92" s="42" t="str">
        <x:v>存储</x:v>
      </x:c>
      <x:c r="D92" s="42" t="str">
        <x:v>空间管理</x:v>
      </x:c>
      <x:c r="E92" s="42" t="str">
        <x:v>统计、清理和保留策略。</x:v>
      </x:c>
      <x:c r="F92" s="42" t="str">
        <x:v>V0.1</x:v>
      </x:c>
      <x:c r="G92" s="42" t="str">
        <x:v>P1</x:v>
      </x:c>
      <x:c r="H92" s="42" t="str">
        <x:v>M</x:v>
      </x:c>
      <x:c r="I92" s="42" t="str">
        <x:v>P7-003</x:v>
      </x:c>
      <x:c r="J92" s="42" t="str">
        <x:v>删除前展示影响范围</x:v>
      </x:c>
      <x:c r="K92" s="42" t="str">
        <x:v>误删保护</x:v>
      </x:c>
      <x:c r="L92" s="42" t="str">
        <x:v>未开始</x:v>
      </x:c>
      <x:c r="M92" s="42" t="str">
        <x:v>未分配</x:v>
      </x:c>
      <x:c r="N92" s="43" t="str"/>
    </x:row>
    <x:row r="93">
      <x:c r="A93" s="41" t="str">
        <x:v>REL-004</x:v>
      </x:c>
      <x:c r="B93" s="42" t="str">
        <x:v>发布运维</x:v>
      </x:c>
      <x:c r="C93" s="42" t="str">
        <x:v>打包</x:v>
      </x:c>
      <x:c r="D93" s="42" t="str">
        <x:v>macOS安装包</x:v>
      </x:c>
      <x:c r="E93" s="42" t="str">
        <x:v>自包含DMG/PKG。</x:v>
      </x:c>
      <x:c r="F93" s="42" t="str">
        <x:v>V0.1</x:v>
      </x:c>
      <x:c r="G93" s="42" t="str">
        <x:v>P0</x:v>
      </x:c>
      <x:c r="H93" s="42" t="str">
        <x:v>L</x:v>
      </x:c>
      <x:c r="I93" s="42" t="str">
        <x:v>P7-006</x:v>
      </x:c>
      <x:c r="J93" s="42" t="str">
        <x:v>干净macOS机器可运行</x:v>
      </x:c>
      <x:c r="K93" s="42" t="str">
        <x:v>Gatekeeper/签名</x:v>
      </x:c>
      <x:c r="L93" s="42" t="str">
        <x:v>未开始</x:v>
      </x:c>
      <x:c r="M93" s="42" t="str">
        <x:v>未分配</x:v>
      </x:c>
      <x:c r="N93" s="43" t="str"/>
    </x:row>
    <x:row r="94">
      <x:c r="A94" s="41" t="str">
        <x:v>REL-005</x:v>
      </x:c>
      <x:c r="B94" s="42" t="str">
        <x:v>发布运维</x:v>
      </x:c>
      <x:c r="C94" s="42" t="str">
        <x:v>打包</x:v>
      </x:c>
      <x:c r="D94" s="42" t="str">
        <x:v>Windows安装包</x:v>
      </x:c>
      <x:c r="E94" s="42" t="str">
        <x:v>自包含EXE/MSI。</x:v>
      </x:c>
      <x:c r="F94" s="42" t="str">
        <x:v>V0.1</x:v>
      </x:c>
      <x:c r="G94" s="42" t="str">
        <x:v>P0</x:v>
      </x:c>
      <x:c r="H94" s="42" t="str">
        <x:v>L</x:v>
      </x:c>
      <x:c r="I94" s="42" t="str">
        <x:v>P7-007</x:v>
      </x:c>
      <x:c r="J94" s="42" t="str">
        <x:v>干净Windows机器可运行</x:v>
      </x:c>
      <x:c r="K94" s="42" t="str">
        <x:v>杀软/路径权限</x:v>
      </x:c>
      <x:c r="L94" s="42" t="str">
        <x:v>未开始</x:v>
      </x:c>
      <x:c r="M94" s="42" t="str">
        <x:v>未分配</x:v>
      </x:c>
      <x:c r="N94" s="43" t="str"/>
    </x:row>
    <x:row r="95">
      <x:c r="A95" s="41" t="str">
        <x:v>REL-006</x:v>
      </x:c>
      <x:c r="B95" s="42" t="str">
        <x:v>发布运维</x:v>
      </x:c>
      <x:c r="C95" s="42" t="str">
        <x:v>文档</x:v>
      </x:c>
      <x:c r="D95" s="42" t="str">
        <x:v>用户手册</x:v>
      </x:c>
      <x:c r="E95" s="42" t="str">
        <x:v>覆盖完整操作链路和限制。</x:v>
      </x:c>
      <x:c r="F95" s="42" t="str">
        <x:v>V0.1</x:v>
      </x:c>
      <x:c r="G95" s="42" t="str">
        <x:v>P1</x:v>
      </x:c>
      <x:c r="H95" s="42" t="str">
        <x:v>M</x:v>
      </x:c>
      <x:c r="I95" s="42" t="str">
        <x:v>P7-009</x:v>
      </x:c>
      <x:c r="J95" s="42" t="str">
        <x:v>新用户能独立完成分析</x:v>
      </x:c>
      <x:c r="K95" s="42" t="str">
        <x:v>可用性测试</x:v>
      </x:c>
      <x:c r="L95" s="42" t="str">
        <x:v>未开始</x:v>
      </x:c>
      <x:c r="M95" s="42" t="str">
        <x:v>未分配</x:v>
      </x:c>
      <x:c r="N95" s="43" t="str"/>
    </x:row>
    <x:row r="96">
      <x:c r="A96" s="41" t="str">
        <x:v>REL-007</x:v>
      </x:c>
      <x:c r="B96" s="42" t="str">
        <x:v>发布运维</x:v>
      </x:c>
      <x:c r="C96" s="42" t="str">
        <x:v>许可证</x:v>
      </x:c>
      <x:c r="D96" s="42" t="str">
        <x:v>第三方许可证清单</x:v>
      </x:c>
      <x:c r="E96" s="42" t="str">
        <x:v>发行包包含NOTICE和许可证。</x:v>
      </x:c>
      <x:c r="F96" s="42" t="str">
        <x:v>V0.1</x:v>
      </x:c>
      <x:c r="G96" s="42" t="str">
        <x:v>P0</x:v>
      </x:c>
      <x:c r="H96" s="42" t="str">
        <x:v>S</x:v>
      </x:c>
      <x:c r="I96" s="42" t="str">
        <x:v>P7-008</x:v>
      </x:c>
      <x:c r="J96" s="42" t="str">
        <x:v>依赖许可证完整</x:v>
      </x:c>
      <x:c r="K96" s="42" t="str">
        <x:v>依赖升级</x:v>
      </x:c>
      <x:c r="L96" s="42" t="str">
        <x:v>未开始</x:v>
      </x:c>
      <x:c r="M96" s="42" t="str">
        <x:v>未分配</x:v>
      </x:c>
      <x:c r="N96" s="43" t="str"/>
    </x:row>
    <x:row r="97">
      <x:c r="A97" s="41" t="str">
        <x:v>NEXT-001</x:v>
      </x:c>
      <x:c r="B97" s="42" t="str">
        <x:v>后续版本</x:v>
      </x:c>
      <x:c r="C97" s="42" t="str">
        <x:v>对比</x:v>
      </x:c>
      <x:c r="D97" s="42" t="str">
        <x:v>差分FlameGraph</x:v>
      </x:c>
      <x:c r="E97" s="42" t="str">
        <x:v>对比Baseline/Candidate。</x:v>
      </x:c>
      <x:c r="F97" s="42" t="str">
        <x:v>V0.2</x:v>
      </x:c>
      <x:c r="G97" s="42" t="str">
        <x:v>P1</x:v>
      </x:c>
      <x:c r="H97" s="42" t="str">
        <x:v>XL</x:v>
      </x:c>
      <x:c r="I97" s="42" t="str"/>
      <x:c r="J97" s="42" t="str">
        <x:v>支持统一量纲和过滤条件</x:v>
      </x:c>
      <x:c r="K97" s="42" t="str">
        <x:v>版本/事件不可比</x:v>
      </x:c>
      <x:c r="L97" s="42" t="str">
        <x:v>未开始</x:v>
      </x:c>
      <x:c r="M97" s="42" t="str">
        <x:v>未分配</x:v>
      </x:c>
      <x:c r="N97" s="43" t="str"/>
    </x:row>
    <x:row r="98">
      <x:c r="A98" s="41" t="str">
        <x:v>NEXT-002</x:v>
      </x:c>
      <x:c r="B98" s="42" t="str">
        <x:v>后续版本</x:v>
      </x:c>
      <x:c r="C98" s="42" t="str">
        <x:v>解析</x:v>
      </x:c>
      <x:c r="D98" s="42" t="str">
        <x:v>libsimpleperf_report接入</x:v>
      </x:c>
      <x:c r="E98" s="42" t="str">
        <x:v>使用Native解析服务读取原始perf.data。</x:v>
      </x:c>
      <x:c r="F98" s="42" t="str">
        <x:v>V0.3</x:v>
      </x:c>
      <x:c r="G98" s="42" t="str">
        <x:v>P1</x:v>
      </x:c>
      <x:c r="H98" s="42" t="str">
        <x:v>XL</x:v>
      </x:c>
      <x:c r="I98" s="42" t="str"/>
      <x:c r="J98" s="42" t="str">
        <x:v>不改变上层ProfileSink接口</x:v>
      </x:c>
      <x:c r="K98" s="42" t="str">
        <x:v>跨平台Native崩溃</x:v>
      </x:c>
      <x:c r="L98" s="42" t="str">
        <x:v>未开始</x:v>
      </x:c>
      <x:c r="M98" s="42" t="str">
        <x:v>未分配</x:v>
      </x:c>
      <x:c r="N98" s="43" t="str"/>
    </x:row>
    <x:row r="99">
      <x:c r="A99" s="41" t="str">
        <x:v>NEXT-003</x:v>
      </x:c>
      <x:c r="B99" s="42" t="str">
        <x:v>后续版本</x:v>
      </x:c>
      <x:c r="C99" s="42" t="str">
        <x:v>Perfetto</x:v>
      </x:c>
      <x:c r="D99" s="42" t="str">
        <x:v>Trace Processor接入</x:v>
      </x:c>
      <x:c r="E99" s="42" t="str">
        <x:v>导入Perfetto并执行SQL。</x:v>
      </x:c>
      <x:c r="F99" s="42" t="str">
        <x:v>V0.4</x:v>
      </x:c>
      <x:c r="G99" s="42" t="str">
        <x:v>P0</x:v>
      </x:c>
      <x:c r="H99" s="42" t="str">
        <x:v>XL</x:v>
      </x:c>
      <x:c r="I99" s="42" t="str"/>
      <x:c r="J99" s="42" t="str">
        <x:v>支持sched/frequency/binder/frame</x:v>
      </x:c>
      <x:c r="K99" s="42" t="str">
        <x:v>Trace版本差异</x:v>
      </x:c>
      <x:c r="L99" s="42" t="str">
        <x:v>未开始</x:v>
      </x:c>
      <x:c r="M99" s="42" t="str">
        <x:v>未分配</x:v>
      </x:c>
      <x:c r="N99" s="43" t="str"/>
    </x:row>
    <x:row r="100">
      <x:c r="A100" s="44" t="str">
        <x:v>NEXT-004</x:v>
      </x:c>
      <x:c r="B100" s="45" t="str">
        <x:v>后续版本</x:v>
      </x:c>
      <x:c r="C100" s="45" t="str">
        <x:v>Hybrid</x:v>
      </x:c>
      <x:c r="D100" s="45" t="str">
        <x:v>帧级联合归因</x:v>
      </x:c>
      <x:c r="E100" s="45" t="str">
        <x:v>将CPU调用栈与FrameTimeline/sched结合。</x:v>
      </x:c>
      <x:c r="F100" s="45" t="str">
        <x:v>V1.0</x:v>
      </x:c>
      <x:c r="G100" s="45" t="str">
        <x:v>P0</x:v>
      </x:c>
      <x:c r="H100" s="45" t="str">
        <x:v>XL</x:v>
      </x:c>
      <x:c r="I100" s="45" t="str"/>
      <x:c r="J100" s="45" t="str">
        <x:v>输出帧级证据链和限制</x:v>
      </x:c>
      <x:c r="K100" s="45" t="str">
        <x:v>时钟/数据关联</x:v>
      </x:c>
      <x:c r="L100" s="45" t="str">
        <x:v>未开始</x:v>
      </x:c>
      <x:c r="M100" s="45" t="str">
        <x:v>未分配</x:v>
      </x:c>
      <x:c r="N100" s="46" t="str"/>
    </x:row>
  </x:sheetData>
  <x:mergeCells>
    <x:mergeCell ref="A1:N1"/>
  </x:mergeCells>
  <x:conditionalFormatting sqref="L3:L100">
    <x:cfRule type="expression" dxfId="3" priority="1">
      <x:formula>L3="已完成"</x:formula>
    </x:cfRule>
    <x:cfRule type="expression" dxfId="4" priority="2">
      <x:formula>L3="阻塞"</x:formula>
    </x:cfRule>
  </x:conditionalFormatting>
  <x:dataValidations count="4">
    <x:dataValidation type="list" sqref="G3:G100">
      <x:formula1>"P0,P1,P2,P3"</x:formula1>
    </x:dataValidation>
    <x:dataValidation type="list" sqref="H3:H100">
      <x:formula1>"S,M,L,XL"</x:formula1>
    </x:dataValidation>
    <x:dataValidation type="list" sqref="L3:L100">
      <x:formula1>"未开始,进行中,阻塞,待验收,已完成,已取消"</x:formula1>
    </x:dataValidation>
    <x:dataValidation type="list" sqref="M3:M100">
      <x:formula1>"未分配,开发A,开发B,测试,技术负责人"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0d757beb2044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24" hidden="0" customWidth="1"/>
    <x:col min="5" max="5" width="24" hidden="0" customWidth="1"/>
    <x:col min="6" max="6" width="34" hidden="0" customWidth="1"/>
    <x:col min="7" max="7" width="34" hidden="0" customWidth="1"/>
    <x:col min="8" max="8" width="9" hidden="0" customWidth="1"/>
    <x:col min="9" max="9" width="10" hidden="0" customWidth="1"/>
    <x:col min="10" max="10" width="18" hidden="0" customWidth="1"/>
    <x:col min="11" max="11" width="11" hidden="0" customWidth="1"/>
    <x:col min="12" max="12" width="12" hidden="0" customWidth="1"/>
    <x:col min="13" max="13" width="24" hidden="0" customWidth="1"/>
  </x:cols>
  <x:sheetData>
    <x:row r="1" ht="28" customHeight="1">
      <x:c r="A1" s="5" t="str">
        <x:v>测试矩阵与验收跟踪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38" t="str">
        <x:v>测试ID</x:v>
      </x:c>
      <x:c r="B2" s="39" t="str">
        <x:v>测试层级</x:v>
      </x:c>
      <x:c r="C2" s="39" t="str">
        <x:v>模块</x:v>
      </x:c>
      <x:c r="D2" s="39" t="str">
        <x:v>场景</x:v>
      </x:c>
      <x:c r="E2" s="39" t="str">
        <x:v>前置条件</x:v>
      </x:c>
      <x:c r="F2" s="39" t="str">
        <x:v>测试步骤摘要</x:v>
      </x:c>
      <x:c r="G2" s="39" t="str">
        <x:v>预期结果</x:v>
      </x:c>
      <x:c r="H2" s="39" t="str">
        <x:v>优先级</x:v>
      </x:c>
      <x:c r="I2" s="39" t="str">
        <x:v>自动化</x:v>
      </x:c>
      <x:c r="J2" s="39" t="str">
        <x:v>关联任务</x:v>
      </x:c>
      <x:c r="K2" s="39" t="str">
        <x:v>状态</x:v>
      </x:c>
      <x:c r="L2" s="39" t="str">
        <x:v>负责人</x:v>
      </x:c>
      <x:c r="M2" s="40" t="str">
        <x:v>证据/报告</x:v>
      </x:c>
    </x:row>
    <x:row r="3">
      <x:c r="A3" s="41" t="str">
        <x:v>T-001</x:v>
      </x:c>
      <x:c r="B3" s="42" t="str">
        <x:v>单元</x:v>
      </x:c>
      <x:c r="C3" s="42" t="str">
        <x:v>CommandExecutor</x:v>
      </x:c>
      <x:c r="D3" s="42" t="str">
        <x:v>参数数组执行</x:v>
      </x:c>
      <x:c r="E3" s="42" t="str">
        <x:v>本机adb可用</x:v>
      </x:c>
      <x:c r="F3" s="42" t="str">
        <x:v>执行adb version并读取stdout/stderr</x:v>
      </x:c>
      <x:c r="G3" s="42" t="str">
        <x:v>exit code和输出正确</x:v>
      </x:c>
      <x:c r="H3" s="42" t="str">
        <x:v>P0</x:v>
      </x:c>
      <x:c r="I3" s="42" t="str">
        <x:v>是</x:v>
      </x:c>
      <x:c r="J3" s="42" t="str">
        <x:v>P1-009</x:v>
      </x:c>
      <x:c r="K3" s="42" t="str">
        <x:v>未开始</x:v>
      </x:c>
      <x:c r="L3" s="42" t="str">
        <x:v>未分配</x:v>
      </x:c>
      <x:c r="M3" s="43" t="str"/>
    </x:row>
    <x:row r="4">
      <x:c r="A4" s="41" t="str">
        <x:v>T-002</x:v>
      </x:c>
      <x:c r="B4" s="42" t="str">
        <x:v>单元</x:v>
      </x:c>
      <x:c r="C4" s="42" t="str">
        <x:v>CommandExecutor</x:v>
      </x:c>
      <x:c r="D4" s="42" t="str">
        <x:v>超时与取消</x:v>
      </x:c>
      <x:c r="E4" s="42" t="str">
        <x:v>执行长时间命令</x:v>
      </x:c>
      <x:c r="F4" s="42" t="str">
        <x:v>触发超时和主动取消</x:v>
      </x:c>
      <x:c r="G4" s="42" t="str">
        <x:v>进程树终止，无资源泄漏</x:v>
      </x:c>
      <x:c r="H4" s="42" t="str">
        <x:v>P0</x:v>
      </x:c>
      <x:c r="I4" s="42" t="str">
        <x:v>是</x:v>
      </x:c>
      <x:c r="J4" s="42" t="str">
        <x:v>P1-009</x:v>
      </x:c>
      <x:c r="K4" s="42" t="str">
        <x:v>未开始</x:v>
      </x:c>
      <x:c r="L4" s="42" t="str">
        <x:v>未分配</x:v>
      </x:c>
      <x:c r="M4" s="43" t="str"/>
    </x:row>
    <x:row r="5">
      <x:c r="A5" s="41" t="str">
        <x:v>T-003</x:v>
      </x:c>
      <x:c r="B5" s="42" t="str">
        <x:v>集成</x:v>
      </x:c>
      <x:c r="C5" s="42" t="str">
        <x:v>ADB</x:v>
      </x:c>
      <x:c r="D5" s="42" t="str">
        <x:v>设备状态解析</x:v>
      </x:c>
      <x:c r="E5" s="42" t="str">
        <x:v>准备device/offline/unauthorized样本</x:v>
      </x:c>
      <x:c r="F5" s="42" t="str">
        <x:v>解析adb devices -l</x:v>
      </x:c>
      <x:c r="G5" s="42" t="str">
        <x:v>状态分类正确</x:v>
      </x:c>
      <x:c r="H5" s="42" t="str">
        <x:v>P0</x:v>
      </x:c>
      <x:c r="I5" s="42" t="str">
        <x:v>是</x:v>
      </x:c>
      <x:c r="J5" s="42" t="str">
        <x:v>P2-002</x:v>
      </x:c>
      <x:c r="K5" s="42" t="str">
        <x:v>未开始</x:v>
      </x:c>
      <x:c r="L5" s="42" t="str">
        <x:v>未分配</x:v>
      </x:c>
      <x:c r="M5" s="43" t="str"/>
    </x:row>
    <x:row r="6">
      <x:c r="A6" s="41" t="str">
        <x:v>T-004</x:v>
      </x:c>
      <x:c r="B6" s="42" t="str">
        <x:v>集成</x:v>
      </x:c>
      <x:c r="C6" s="42" t="str">
        <x:v>能力检测</x:v>
      </x:c>
      <x:c r="D6" s="42" t="str">
        <x:v>user与userdebug差异</x:v>
      </x:c>
      <x:c r="E6" s="42" t="str">
        <x:v>两类设备</x:v>
      </x:c>
      <x:c r="F6" s="42" t="str">
        <x:v>执行能力探测</x:v>
      </x:c>
      <x:c r="G6" s="42" t="str">
        <x:v>能力矩阵与实际一致</x:v>
      </x:c>
      <x:c r="H6" s="42" t="str">
        <x:v>P0</x:v>
      </x:c>
      <x:c r="I6" s="42" t="str">
        <x:v>部分</x:v>
      </x:c>
      <x:c r="J6" s="42" t="str">
        <x:v>P2-004</x:v>
      </x:c>
      <x:c r="K6" s="42" t="str">
        <x:v>未开始</x:v>
      </x:c>
      <x:c r="L6" s="42" t="str">
        <x:v>未分配</x:v>
      </x:c>
      <x:c r="M6" s="43" t="str"/>
    </x:row>
    <x:row r="7">
      <x:c r="A7" s="41" t="str">
        <x:v>T-005</x:v>
      </x:c>
      <x:c r="B7" s="42" t="str">
        <x:v>E2E</x:v>
      </x:c>
      <x:c r="C7" s="42" t="str">
        <x:v>采集</x:v>
      </x:c>
      <x:c r="D7" s="42" t="str">
        <x:v>按PID完成采集</x:v>
      </x:c>
      <x:c r="E7" s="42" t="str">
        <x:v>应用进程运行</x:v>
      </x:c>
      <x:c r="F7" s="42" t="str">
        <x:v>开始10秒采集并停止</x:v>
      </x:c>
      <x:c r="G7" s="42" t="str">
        <x:v>本地perf.data可被report读取</x:v>
      </x:c>
      <x:c r="H7" s="42" t="str">
        <x:v>P0</x:v>
      </x:c>
      <x:c r="I7" s="42" t="str">
        <x:v>部分</x:v>
      </x:c>
      <x:c r="J7" s="42" t="str">
        <x:v>P2-013:P2-016</x:v>
      </x:c>
      <x:c r="K7" s="42" t="str">
        <x:v>未开始</x:v>
      </x:c>
      <x:c r="L7" s="42" t="str">
        <x:v>未分配</x:v>
      </x:c>
      <x:c r="M7" s="43" t="str"/>
    </x:row>
    <x:row r="8">
      <x:c r="A8" s="41" t="str">
        <x:v>T-006</x:v>
      </x:c>
      <x:c r="B8" s="42" t="str">
        <x:v>E2E</x:v>
      </x:c>
      <x:c r="C8" s="42" t="str">
        <x:v>采集</x:v>
      </x:c>
      <x:c r="D8" s="42" t="str">
        <x:v>采集中拔线</x:v>
      </x:c>
      <x:c r="E8" s="42" t="str">
        <x:v>正在Recording</x:v>
      </x:c>
      <x:c r="F8" s="42" t="str">
        <x:v>断开USB后恢复</x:v>
      </x:c>
      <x:c r="G8" s="42" t="str">
        <x:v>Session失败可恢复，原始日志保留</x:v>
      </x:c>
      <x:c r="H8" s="42" t="str">
        <x:v>P0</x:v>
      </x:c>
      <x:c r="I8" s="42" t="str">
        <x:v>否</x:v>
      </x:c>
      <x:c r="J8" s="42" t="str">
        <x:v>P2-015,P7-002</x:v>
      </x:c>
      <x:c r="K8" s="42" t="str">
        <x:v>未开始</x:v>
      </x:c>
      <x:c r="L8" s="42" t="str">
        <x:v>未分配</x:v>
      </x:c>
      <x:c r="M8" s="43" t="str"/>
    </x:row>
    <x:row r="9">
      <x:c r="A9" s="41" t="str">
        <x:v>T-007</x:v>
      </x:c>
      <x:c r="B9" s="42" t="str">
        <x:v>单元</x:v>
      </x:c>
      <x:c r="C9" s="42" t="str">
        <x:v>Proto</x:v>
      </x:c>
      <x:c r="D9" s="42" t="str">
        <x:v>非法Magic</x:v>
      </x:c>
      <x:c r="E9" s="42" t="str">
        <x:v>构造错误文件头</x:v>
      </x:c>
      <x:c r="F9" s="42" t="str">
        <x:v>执行导入</x:v>
      </x:c>
      <x:c r="G9" s="42" t="str">
        <x:v>返回InvalidProto，不写数据库</x:v>
      </x:c>
      <x:c r="H9" s="42" t="str">
        <x:v>P0</x:v>
      </x:c>
      <x:c r="I9" s="42" t="str">
        <x:v>是</x:v>
      </x:c>
      <x:c r="J9" s="42" t="str">
        <x:v>P3-006</x:v>
      </x:c>
      <x:c r="K9" s="42" t="str">
        <x:v>未开始</x:v>
      </x:c>
      <x:c r="L9" s="42" t="str">
        <x:v>未分配</x:v>
      </x:c>
      <x:c r="M9" s="43" t="str"/>
    </x:row>
    <x:row r="10">
      <x:c r="A10" s="41" t="str">
        <x:v>T-008</x:v>
      </x:c>
      <x:c r="B10" s="42" t="str">
        <x:v>单元</x:v>
      </x:c>
      <x:c r="C10" s="42" t="str">
        <x:v>Proto</x:v>
      </x:c>
      <x:c r="D10" s="42" t="str">
        <x:v>不支持版本</x:v>
      </x:c>
      <x:c r="E10" s="42" t="str">
        <x:v>构造高版本头</x:v>
      </x:c>
      <x:c r="F10" s="42" t="str">
        <x:v>执行导入</x:v>
      </x:c>
      <x:c r="G10" s="42" t="str">
        <x:v>返回UnsupportedVersion</x:v>
      </x:c>
      <x:c r="H10" s="42" t="str">
        <x:v>P0</x:v>
      </x:c>
      <x:c r="I10" s="42" t="str">
        <x:v>是</x:v>
      </x:c>
      <x:c r="J10" s="42" t="str">
        <x:v>P3-006</x:v>
      </x:c>
      <x:c r="K10" s="42" t="str">
        <x:v>未开始</x:v>
      </x:c>
      <x:c r="L10" s="42" t="str">
        <x:v>未分配</x:v>
      </x:c>
      <x:c r="M10" s="43" t="str"/>
    </x:row>
    <x:row r="11">
      <x:c r="A11" s="41" t="str">
        <x:v>T-009</x:v>
      </x:c>
      <x:c r="B11" s="42" t="str">
        <x:v>单元</x:v>
      </x:c>
      <x:c r="C11" s="42" t="str">
        <x:v>Proto</x:v>
      </x:c>
      <x:c r="D11" s="42" t="str">
        <x:v>Record截断</x:v>
      </x:c>
      <x:c r="E11" s="42" t="str">
        <x:v>构造长度大于剩余字节</x:v>
      </x:c>
      <x:c r="F11" s="42" t="str">
        <x:v>执行导入</x:v>
      </x:c>
      <x:c r="G11" s="42" t="str">
        <x:v>明确截断错误且不越界</x:v>
      </x:c>
      <x:c r="H11" s="42" t="str">
        <x:v>P0</x:v>
      </x:c>
      <x:c r="I11" s="42" t="str">
        <x:v>是</x:v>
      </x:c>
      <x:c r="J11" s="42" t="str">
        <x:v>P3-007</x:v>
      </x:c>
      <x:c r="K11" s="42" t="str">
        <x:v>未开始</x:v>
      </x:c>
      <x:c r="L11" s="42" t="str">
        <x:v>未分配</x:v>
      </x:c>
      <x:c r="M11" s="43" t="str"/>
    </x:row>
    <x:row r="12">
      <x:c r="A12" s="41" t="str">
        <x:v>T-010</x:v>
      </x:c>
      <x:c r="B12" s="42" t="str">
        <x:v>性能</x:v>
      </x:c>
      <x:c r="C12" s="42" t="str">
        <x:v>Proto</x:v>
      </x:c>
      <x:c r="D12" s="42" t="str">
        <x:v>百万Record流式解析</x:v>
      </x:c>
      <x:c r="E12" s="42" t="str">
        <x:v>large fixture</x:v>
      </x:c>
      <x:c r="F12" s="42" t="str">
        <x:v>执行导入</x:v>
      </x:c>
      <x:c r="G12" s="42" t="str">
        <x:v>无OOM，吞吐达到基线</x:v>
      </x:c>
      <x:c r="H12" s="42" t="str">
        <x:v>P0</x:v>
      </x:c>
      <x:c r="I12" s="42" t="str">
        <x:v>是</x:v>
      </x:c>
      <x:c r="J12" s="42" t="str">
        <x:v>P3-007,P4-013</x:v>
      </x:c>
      <x:c r="K12" s="42" t="str">
        <x:v>未开始</x:v>
      </x:c>
      <x:c r="L12" s="42" t="str">
        <x:v>未分配</x:v>
      </x:c>
      <x:c r="M12" s="43" t="str"/>
    </x:row>
    <x:row r="13">
      <x:c r="A13" s="41" t="str">
        <x:v>T-011</x:v>
      </x:c>
      <x:c r="B13" s="42" t="str">
        <x:v>单元</x:v>
      </x:c>
      <x:c r="C13" s="42" t="str">
        <x:v>解析</x:v>
      </x:c>
      <x:c r="D13" s="42" t="str">
        <x:v>Thread/File/Sample映射</x:v>
      </x:c>
      <x:c r="E13" s="42" t="str">
        <x:v>Golden proto</x:v>
      </x:c>
      <x:c r="F13" s="42" t="str">
        <x:v>导入并查询</x:v>
      </x:c>
      <x:c r="G13" s="42" t="str">
        <x:v>核心字段与预期一致</x:v>
      </x:c>
      <x:c r="H13" s="42" t="str">
        <x:v>P0</x:v>
      </x:c>
      <x:c r="I13" s="42" t="str">
        <x:v>是</x:v>
      </x:c>
      <x:c r="J13" s="42" t="str">
        <x:v>P3-009:P3-011</x:v>
      </x:c>
      <x:c r="K13" s="42" t="str">
        <x:v>未开始</x:v>
      </x:c>
      <x:c r="L13" s="42" t="str">
        <x:v>未分配</x:v>
      </x:c>
      <x:c r="M13" s="43" t="str"/>
    </x:row>
    <x:row r="14">
      <x:c r="A14" s="41" t="str">
        <x:v>T-012</x:v>
      </x:c>
      <x:c r="B14" s="42" t="str">
        <x:v>单元</x:v>
      </x:c>
      <x:c r="C14" s="42" t="str">
        <x:v>解析</x:v>
      </x:c>
      <x:c r="D14" s="42" t="str">
        <x:v>Lost和Unwind</x:v>
      </x:c>
      <x:c r="E14" s="42" t="str">
        <x:v>异常fixture</x:v>
      </x:c>
      <x:c r="F14" s="42" t="str">
        <x:v>导入并统计</x:v>
      </x:c>
      <x:c r="G14" s="42" t="str">
        <x:v>Lost和错误分布一致</x:v>
      </x:c>
      <x:c r="H14" s="42" t="str">
        <x:v>P1</x:v>
      </x:c>
      <x:c r="I14" s="42" t="str">
        <x:v>是</x:v>
      </x:c>
      <x:c r="J14" s="42" t="str">
        <x:v>P3-012,P3-014</x:v>
      </x:c>
      <x:c r="K14" s="42" t="str">
        <x:v>未开始</x:v>
      </x:c>
      <x:c r="L14" s="42" t="str">
        <x:v>未分配</x:v>
      </x:c>
      <x:c r="M14" s="43" t="str"/>
    </x:row>
    <x:row r="15">
      <x:c r="A15" s="41" t="str">
        <x:v>T-013</x:v>
      </x:c>
      <x:c r="B15" s="42" t="str">
        <x:v>单元</x:v>
      </x:c>
      <x:c r="C15" s="42" t="str">
        <x:v>数据库</x:v>
      </x:c>
      <x:c r="D15" s="42" t="str">
        <x:v>Frame Intern</x:v>
      </x:c>
      <x:c r="E15" s="42" t="str">
        <x:v>重复Frame样本</x:v>
      </x:c>
      <x:c r="F15" s="42" t="str">
        <x:v>导入</x:v>
      </x:c>
      <x:c r="G15" s="42" t="str">
        <x:v>相同Frame只生成一条记录</x:v>
      </x:c>
      <x:c r="H15" s="42" t="str">
        <x:v>P0</x:v>
      </x:c>
      <x:c r="I15" s="42" t="str">
        <x:v>是</x:v>
      </x:c>
      <x:c r="J15" s="42" t="str">
        <x:v>P4-006</x:v>
      </x:c>
      <x:c r="K15" s="42" t="str">
        <x:v>未开始</x:v>
      </x:c>
      <x:c r="L15" s="42" t="str">
        <x:v>未分配</x:v>
      </x:c>
      <x:c r="M15" s="43" t="str"/>
    </x:row>
    <x:row r="16">
      <x:c r="A16" s="41" t="str">
        <x:v>T-014</x:v>
      </x:c>
      <x:c r="B16" s="42" t="str">
        <x:v>单元</x:v>
      </x:c>
      <x:c r="C16" s="42" t="str">
        <x:v>数据库</x:v>
      </x:c>
      <x:c r="D16" s="42" t="str">
        <x:v>Callsite Intern</x:v>
      </x:c>
      <x:c r="E16" s="42" t="str">
        <x:v>共享前缀调用栈</x:v>
      </x:c>
      <x:c r="F16" s="42" t="str">
        <x:v>导入</x:v>
      </x:c>
      <x:c r="G16" s="42" t="str">
        <x:v>父子节点共享且关系正确</x:v>
      </x:c>
      <x:c r="H16" s="42" t="str">
        <x:v>P0</x:v>
      </x:c>
      <x:c r="I16" s="42" t="str">
        <x:v>是</x:v>
      </x:c>
      <x:c r="J16" s="42" t="str">
        <x:v>P4-007</x:v>
      </x:c>
      <x:c r="K16" s="42" t="str">
        <x:v>未开始</x:v>
      </x:c>
      <x:c r="L16" s="42" t="str">
        <x:v>未分配</x:v>
      </x:c>
      <x:c r="M16" s="43" t="str"/>
    </x:row>
    <x:row r="17">
      <x:c r="A17" s="41" t="str">
        <x:v>T-015</x:v>
      </x:c>
      <x:c r="B17" s="42" t="str">
        <x:v>单元</x:v>
      </x:c>
      <x:c r="C17" s="42" t="str">
        <x:v>聚合</x:v>
      </x:c>
      <x:c r="D17" s="42" t="str">
        <x:v>Self/Inclusive</x:v>
      </x:c>
      <x:c r="E17" s="42" t="str">
        <x:v>固定调用树</x:v>
      </x:c>
      <x:c r="F17" s="42" t="str">
        <x:v>计算聚合</x:v>
      </x:c>
      <x:c r="G17" s="42" t="str">
        <x:v>权重符合手工结果</x:v>
      </x:c>
      <x:c r="H17" s="42" t="str">
        <x:v>P0</x:v>
      </x:c>
      <x:c r="I17" s="42" t="str">
        <x:v>是</x:v>
      </x:c>
      <x:c r="J17" s="42" t="str">
        <x:v>P4-010</x:v>
      </x:c>
      <x:c r="K17" s="42" t="str">
        <x:v>未开始</x:v>
      </x:c>
      <x:c r="L17" s="42" t="str">
        <x:v>未分配</x:v>
      </x:c>
      <x:c r="M17" s="43" t="str"/>
    </x:row>
    <x:row r="18">
      <x:c r="A18" s="41" t="str">
        <x:v>T-016</x:v>
      </x:c>
      <x:c r="B18" s="42" t="str">
        <x:v>单元</x:v>
      </x:c>
      <x:c r="C18" s="42" t="str">
        <x:v>聚合</x:v>
      </x:c>
      <x:c r="D18" s="42" t="str">
        <x:v>多事件隔离</x:v>
      </x:c>
      <x:c r="E18" s="42" t="str">
        <x:v>cpu-clock与cycles混合</x:v>
      </x:c>
      <x:c r="F18" s="42" t="str">
        <x:v>查询聚合</x:v>
      </x:c>
      <x:c r="G18" s="42" t="str">
        <x:v>不同事件不混算</x:v>
      </x:c>
      <x:c r="H18" s="42" t="str">
        <x:v>P0</x:v>
      </x:c>
      <x:c r="I18" s="42" t="str">
        <x:v>是</x:v>
      </x:c>
      <x:c r="J18" s="42" t="str">
        <x:v>P4-010</x:v>
      </x:c>
      <x:c r="K18" s="42" t="str">
        <x:v>未开始</x:v>
      </x:c>
      <x:c r="L18" s="42" t="str">
        <x:v>未分配</x:v>
      </x:c>
      <x:c r="M18" s="43" t="str"/>
    </x:row>
    <x:row r="19">
      <x:c r="A19" s="41" t="str">
        <x:v>T-017</x:v>
      </x:c>
      <x:c r="B19" s="42" t="str">
        <x:v>性能</x:v>
      </x:c>
      <x:c r="C19" s="42" t="str">
        <x:v>数据库</x:v>
      </x:c>
      <x:c r="D19" s="42" t="str">
        <x:v>100万Sample导入</x:v>
      </x:c>
      <x:c r="E19" s="42" t="str">
        <x:v>基准机器</x:v>
      </x:c>
      <x:c r="F19" s="42" t="str">
        <x:v>执行完整导入</x:v>
      </x:c>
      <x:c r="G19" s="42" t="str">
        <x:v>耗时和内存达到目标</x:v>
      </x:c>
      <x:c r="H19" s="42" t="str">
        <x:v>P0</x:v>
      </x:c>
      <x:c r="I19" s="42" t="str">
        <x:v>是</x:v>
      </x:c>
      <x:c r="J19" s="42" t="str">
        <x:v>P4-013,P7-005</x:v>
      </x:c>
      <x:c r="K19" s="42" t="str">
        <x:v>未开始</x:v>
      </x:c>
      <x:c r="L19" s="42" t="str">
        <x:v>未分配</x:v>
      </x:c>
      <x:c r="M19" s="43" t="str"/>
    </x:row>
    <x:row r="20">
      <x:c r="A20" s="41" t="str">
        <x:v>T-018</x:v>
      </x:c>
      <x:c r="B20" s="42" t="str">
        <x:v>UI</x:v>
      </x:c>
      <x:c r="C20" s="42" t="str">
        <x:v>FlameGraph</x:v>
      </x:c>
      <x:c r="D20" s="42" t="str">
        <x:v>10万节点交互</x:v>
      </x:c>
      <x:c r="E20" s="42" t="str">
        <x:v>大Session</x:v>
      </x:c>
      <x:c r="F20" s="42" t="str">
        <x:v>缩放平移搜索</x:v>
      </x:c>
      <x:c r="G20" s="42" t="str">
        <x:v>P95交互满足目标</x:v>
      </x:c>
      <x:c r="H20" s="42" t="str">
        <x:v>P0</x:v>
      </x:c>
      <x:c r="I20" s="42" t="str">
        <x:v>部分</x:v>
      </x:c>
      <x:c r="J20" s="42" t="str">
        <x:v>P5-011:P5-013</x:v>
      </x:c>
      <x:c r="K20" s="42" t="str">
        <x:v>未开始</x:v>
      </x:c>
      <x:c r="L20" s="42" t="str">
        <x:v>未分配</x:v>
      </x:c>
      <x:c r="M20" s="43" t="str"/>
    </x:row>
    <x:row r="21">
      <x:c r="A21" s="41" t="str">
        <x:v>T-019</x:v>
      </x:c>
      <x:c r="B21" s="42" t="str">
        <x:v>UI</x:v>
      </x:c>
      <x:c r="C21" s="42" t="str">
        <x:v>过滤</x:v>
      </x:c>
      <x:c r="D21" s="42" t="str">
        <x:v>跨页面过滤一致性</x:v>
      </x:c>
      <x:c r="E21" s="42" t="str">
        <x:v>已打开Session</x:v>
      </x:c>
      <x:c r="F21" s="42" t="str">
        <x:v>设置线程/时间过滤并切页</x:v>
      </x:c>
      <x:c r="G21" s="42" t="str">
        <x:v>各页面口径一致</x:v>
      </x:c>
      <x:c r="H21" s="42" t="str">
        <x:v>P0</x:v>
      </x:c>
      <x:c r="I21" s="42" t="str">
        <x:v>部分</x:v>
      </x:c>
      <x:c r="J21" s="42" t="str">
        <x:v>P5-014</x:v>
      </x:c>
      <x:c r="K21" s="42" t="str">
        <x:v>未开始</x:v>
      </x:c>
      <x:c r="L21" s="42" t="str">
        <x:v>未分配</x:v>
      </x:c>
      <x:c r="M21" s="43" t="str"/>
    </x:row>
    <x:row r="22">
      <x:c r="A22" s="41" t="str">
        <x:v>T-020</x:v>
      </x:c>
      <x:c r="B22" s="42" t="str">
        <x:v>E2E</x:v>
      </x:c>
      <x:c r="C22" s="42" t="str">
        <x:v>离线导入</x:v>
      </x:c>
      <x:c r="D22" s="42" t="str">
        <x:v>无设备导入perf.data</x:v>
      </x:c>
      <x:c r="E22" s="42" t="str">
        <x:v>准备perf.data/symbols</x:v>
      </x:c>
      <x:c r="F22" s="42" t="str">
        <x:v>执行向导</x:v>
      </x:c>
      <x:c r="G22" s="42" t="str">
        <x:v>生成完整Session和报告</x:v>
      </x:c>
      <x:c r="H22" s="42" t="str">
        <x:v>P0</x:v>
      </x:c>
      <x:c r="I22" s="42" t="str">
        <x:v>部分</x:v>
      </x:c>
      <x:c r="J22" s="42" t="str">
        <x:v>P5-018</x:v>
      </x:c>
      <x:c r="K22" s="42" t="str">
        <x:v>未开始</x:v>
      </x:c>
      <x:c r="L22" s="42" t="str">
        <x:v>未分配</x:v>
      </x:c>
      <x:c r="M22" s="43" t="str"/>
    </x:row>
    <x:row r="23">
      <x:c r="A23" s="41" t="str">
        <x:v>T-021</x:v>
      </x:c>
      <x:c r="B23" s="42" t="str">
        <x:v>规则</x:v>
      </x:c>
      <x:c r="C23" s="42" t="str">
        <x:v>数据质量</x:v>
      </x:c>
      <x:c r="D23" s="42" t="str">
        <x:v>Unknown Symbol规则</x:v>
      </x:c>
      <x:c r="E23" s="42" t="str">
        <x:v>无符号fixture</x:v>
      </x:c>
      <x:c r="F23" s="42" t="str">
        <x:v>执行规则</x:v>
      </x:c>
      <x:c r="G23" s="42" t="str">
        <x:v>严重级别、证据、限制正确</x:v>
      </x:c>
      <x:c r="H23" s="42" t="str">
        <x:v>P0</x:v>
      </x:c>
      <x:c r="I23" s="42" t="str">
        <x:v>是</x:v>
      </x:c>
      <x:c r="J23" s="42" t="str">
        <x:v>P6-004</x:v>
      </x:c>
      <x:c r="K23" s="42" t="str">
        <x:v>未开始</x:v>
      </x:c>
      <x:c r="L23" s="42" t="str">
        <x:v>未分配</x:v>
      </x:c>
      <x:c r="M23" s="43" t="str"/>
    </x:row>
    <x:row r="24">
      <x:c r="A24" s="41" t="str">
        <x:v>T-022</x:v>
      </x:c>
      <x:c r="B24" s="42" t="str">
        <x:v>规则</x:v>
      </x:c>
      <x:c r="C24" s="42" t="str">
        <x:v>Android</x:v>
      </x:c>
      <x:c r="D24" s="42" t="str">
        <x:v>主线程Traversal规则</x:v>
      </x:c>
      <x:c r="E24" s="42" t="str">
        <x:v>Launcher样本</x:v>
      </x:c>
      <x:c r="F24" s="42" t="str">
        <x:v>执行规则</x:v>
      </x:c>
      <x:c r="G24" s="42" t="str">
        <x:v>输出调用证据且不声称确定掉帧</x:v>
      </x:c>
      <x:c r="H24" s="42" t="str">
        <x:v>P0</x:v>
      </x:c>
      <x:c r="I24" s="42" t="str">
        <x:v>是</x:v>
      </x:c>
      <x:c r="J24" s="42" t="str">
        <x:v>P6-009</x:v>
      </x:c>
      <x:c r="K24" s="42" t="str">
        <x:v>未开始</x:v>
      </x:c>
      <x:c r="L24" s="42" t="str">
        <x:v>未分配</x:v>
      </x:c>
      <x:c r="M24" s="43" t="str"/>
    </x:row>
    <x:row r="25">
      <x:c r="A25" s="41" t="str">
        <x:v>T-023</x:v>
      </x:c>
      <x:c r="B25" s="42" t="str">
        <x:v>规则</x:v>
      </x:c>
      <x:c r="C25" s="42" t="str">
        <x:v>Android</x:v>
      </x:c>
      <x:c r="D25" s="42" t="str">
        <x:v>RenderThread规则</x:v>
      </x:c>
      <x:c r="E25" s="42" t="str">
        <x:v>渲染高负载样本</x:v>
      </x:c>
      <x:c r="F25" s="42" t="str">
        <x:v>执行规则</x:v>
      </x:c>
      <x:c r="G25" s="42" t="str">
        <x:v>识别Skia/驱动路径</x:v>
      </x:c>
      <x:c r="H25" s="42" t="str">
        <x:v>P0</x:v>
      </x:c>
      <x:c r="I25" s="42" t="str">
        <x:v>是</x:v>
      </x:c>
      <x:c r="J25" s="42" t="str">
        <x:v>P6-010</x:v>
      </x:c>
      <x:c r="K25" s="42" t="str">
        <x:v>未开始</x:v>
      </x:c>
      <x:c r="L25" s="42" t="str">
        <x:v>未分配</x:v>
      </x:c>
      <x:c r="M25" s="43" t="str"/>
    </x:row>
    <x:row r="26">
      <x:c r="A26" s="41" t="str">
        <x:v>T-024</x:v>
      </x:c>
      <x:c r="B26" s="42" t="str">
        <x:v>恢复</x:v>
      </x:c>
      <x:c r="C26" s="42" t="str">
        <x:v>Session</x:v>
      </x:c>
      <x:c r="D26" s="42" t="str">
        <x:v>崩溃恢复</x:v>
      </x:c>
      <x:c r="E26" s="42" t="str">
        <x:v>构造Parsing中断Session</x:v>
      </x:c>
      <x:c r="F26" s="42" t="str">
        <x:v>重新启动应用</x:v>
      </x:c>
      <x:c r="G26" s="42" t="str">
        <x:v>提供重试/清理且保留raw</x:v>
      </x:c>
      <x:c r="H26" s="42" t="str">
        <x:v>P0</x:v>
      </x:c>
      <x:c r="I26" s="42" t="str">
        <x:v>部分</x:v>
      </x:c>
      <x:c r="J26" s="42" t="str">
        <x:v>P7-002</x:v>
      </x:c>
      <x:c r="K26" s="42" t="str">
        <x:v>未开始</x:v>
      </x:c>
      <x:c r="L26" s="42" t="str">
        <x:v>未分配</x:v>
      </x:c>
      <x:c r="M26" s="43" t="str"/>
    </x:row>
    <x:row r="27">
      <x:c r="A27" s="41" t="str">
        <x:v>T-025</x:v>
      </x:c>
      <x:c r="B27" s="42" t="str">
        <x:v>发布</x:v>
      </x:c>
      <x:c r="C27" s="42" t="str">
        <x:v>安装包</x:v>
      </x:c>
      <x:c r="D27" s="42" t="str">
        <x:v>macOS干净机安装</x:v>
      </x:c>
      <x:c r="E27" s="42" t="str">
        <x:v>无JDK环境</x:v>
      </x:c>
      <x:c r="F27" s="42" t="str">
        <x:v>安装并运行</x:v>
      </x:c>
      <x:c r="G27" s="42" t="str">
        <x:v>应用可启动并找到ADB</x:v>
      </x:c>
      <x:c r="H27" s="42" t="str">
        <x:v>P0</x:v>
      </x:c>
      <x:c r="I27" s="42" t="str">
        <x:v>否</x:v>
      </x:c>
      <x:c r="J27" s="42" t="str">
        <x:v>P7-006</x:v>
      </x:c>
      <x:c r="K27" s="42" t="str">
        <x:v>未开始</x:v>
      </x:c>
      <x:c r="L27" s="42" t="str">
        <x:v>未分配</x:v>
      </x:c>
      <x:c r="M27" s="43" t="str"/>
    </x:row>
    <x:row r="28">
      <x:c r="A28" s="41" t="str">
        <x:v>T-026</x:v>
      </x:c>
      <x:c r="B28" s="42" t="str">
        <x:v>发布</x:v>
      </x:c>
      <x:c r="C28" s="42" t="str">
        <x:v>安装包</x:v>
      </x:c>
      <x:c r="D28" s="42" t="str">
        <x:v>Windows干净机安装</x:v>
      </x:c>
      <x:c r="E28" s="42" t="str">
        <x:v>无JDK环境</x:v>
      </x:c>
      <x:c r="F28" s="42" t="str">
        <x:v>安装并运行</x:v>
      </x:c>
      <x:c r="G28" s="42" t="str">
        <x:v>应用可启动并完成导入</x:v>
      </x:c>
      <x:c r="H28" s="42" t="str">
        <x:v>P0</x:v>
      </x:c>
      <x:c r="I28" s="42" t="str">
        <x:v>否</x:v>
      </x:c>
      <x:c r="J28" s="42" t="str">
        <x:v>P7-007</x:v>
      </x:c>
      <x:c r="K28" s="42" t="str">
        <x:v>未开始</x:v>
      </x:c>
      <x:c r="L28" s="42" t="str">
        <x:v>未分配</x:v>
      </x:c>
      <x:c r="M28" s="43" t="str"/>
    </x:row>
    <x:row r="29">
      <x:c r="A29" s="41" t="str">
        <x:v>T-027</x:v>
      </x:c>
      <x:c r="B29" s="42" t="str">
        <x:v>发布</x:v>
      </x:c>
      <x:c r="C29" s="42" t="str">
        <x:v>Session包</x:v>
      </x:c>
      <x:c r="D29" s="42" t="str">
        <x:v>导出后重新导入</x:v>
      </x:c>
      <x:c r="E29" s="42" t="str">
        <x:v>完成Session</x:v>
      </x:c>
      <x:c r="F29" s="42" t="str">
        <x:v>导出、删除本地、重新导入</x:v>
      </x:c>
      <x:c r="G29" s="42" t="str">
        <x:v>统计和诊断结果一致</x:v>
      </x:c>
      <x:c r="H29" s="42" t="str">
        <x:v>P1</x:v>
      </x:c>
      <x:c r="I29" s="42" t="str">
        <x:v>部分</x:v>
      </x:c>
      <x:c r="J29" s="42" t="str">
        <x:v>P7-001</x:v>
      </x:c>
      <x:c r="K29" s="42" t="str">
        <x:v>未开始</x:v>
      </x:c>
      <x:c r="L29" s="42" t="str">
        <x:v>未分配</x:v>
      </x:c>
      <x:c r="M29" s="43" t="str"/>
    </x:row>
    <x:row r="30">
      <x:c r="A30" s="44" t="str">
        <x:v>T-028</x:v>
      </x:c>
      <x:c r="B30" s="45" t="str">
        <x:v>安全</x:v>
      </x:c>
      <x:c r="C30" s="45" t="str">
        <x:v>导入</x:v>
      </x:c>
      <x:c r="D30" s="45" t="str">
        <x:v>恶意Record长度</x:v>
      </x:c>
      <x:c r="E30" s="45" t="str">
        <x:v>构造超大长度前缀</x:v>
      </x:c>
      <x:c r="F30" s="45" t="str">
        <x:v>执行导入</x:v>
      </x:c>
      <x:c r="G30" s="45" t="str">
        <x:v>被上限拦截，无大内存分配</x:v>
      </x:c>
      <x:c r="H30" s="45" t="str">
        <x:v>P0</x:v>
      </x:c>
      <x:c r="I30" s="45" t="str">
        <x:v>是</x:v>
      </x:c>
      <x:c r="J30" s="45" t="str">
        <x:v>P3-007,P7-004</x:v>
      </x:c>
      <x:c r="K30" s="45" t="str">
        <x:v>未开始</x:v>
      </x:c>
      <x:c r="L30" s="45" t="str">
        <x:v>未分配</x:v>
      </x:c>
      <x:c r="M30" s="46" t="str"/>
    </x:row>
  </x:sheetData>
  <x:mergeCells>
    <x:mergeCell ref="A1:M1"/>
  </x:mergeCells>
  <x:conditionalFormatting sqref="K3:K30">
    <x:cfRule type="expression" dxfId="5" priority="1">
      <x:formula>K3="通过"</x:formula>
    </x:cfRule>
    <x:cfRule type="expression" dxfId="6" priority="2">
      <x:formula>K3="失败"</x:formula>
    </x:cfRule>
  </x:conditionalFormatting>
  <x:dataValidations count="3">
    <x:dataValidation type="list" sqref="H3:H30">
      <x:formula1>"P0,P1,P2,P3"</x:formula1>
    </x:dataValidation>
    <x:dataValidation type="list" sqref="I3:I30">
      <x:formula1>"是,部分,否"</x:formula1>
    </x:dataValidation>
    <x:dataValidation type="list" sqref="K3:K30">
      <x:formula1>"未开始,进行中,阻塞,待验证,通过,失败,不适用"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708a094793496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38" hidden="0" customWidth="1"/>
    <x:col min="5" max="5" width="9" hidden="0" customWidth="1"/>
    <x:col min="6" max="6" width="9" hidden="0" customWidth="1"/>
    <x:col min="7" max="7" width="9" hidden="0" customWidth="1"/>
    <x:col min="8" max="8" width="28" hidden="0" customWidth="1"/>
    <x:col min="9" max="9" width="42" hidden="0" customWidth="1"/>
    <x:col min="10" max="10" width="12" hidden="0" customWidth="1"/>
    <x:col min="11" max="11" width="12" hidden="0" customWidth="1"/>
    <x:col min="12" max="12" width="11" hidden="0" customWidth="1"/>
    <x:col min="13" max="13" width="18" hidden="0" customWidth="1"/>
  </x:cols>
  <x:sheetData>
    <x:row r="1" ht="28" customHeight="1">
      <x:c r="A1" s="5" t="str">
        <x:v>风险、关键决策与应对措施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38" t="str">
        <x:v>编号</x:v>
      </x:c>
      <x:c r="B2" s="39" t="str">
        <x:v>类型</x:v>
      </x:c>
      <x:c r="C2" s="39" t="str">
        <x:v>风险/决策</x:v>
      </x:c>
      <x:c r="D2" s="39" t="str">
        <x:v>描述</x:v>
      </x:c>
      <x:c r="E2" s="39" t="str">
        <x:v>概率</x:v>
      </x:c>
      <x:c r="F2" s="39" t="str">
        <x:v>影响</x:v>
      </x:c>
      <x:c r="G2" s="39" t="str">
        <x:v>等级</x:v>
      </x:c>
      <x:c r="H2" s="39" t="str">
        <x:v>触发信号</x:v>
      </x:c>
      <x:c r="I2" s="39" t="str">
        <x:v>应对措施</x:v>
      </x:c>
      <x:c r="J2" s="39" t="str">
        <x:v>负责人</x:v>
      </x:c>
      <x:c r="K2" s="39" t="str">
        <x:v>目标关闭周</x:v>
      </x:c>
      <x:c r="L2" s="39" t="str">
        <x:v>状态</x:v>
      </x:c>
      <x:c r="M2" s="40" t="str">
        <x:v>关联任务</x:v>
      </x:c>
    </x:row>
    <x:row r="3">
      <x:c r="A3" s="41" t="str">
        <x:v>R-001</x:v>
      </x:c>
      <x:c r="B3" s="42" t="str">
        <x:v>风险</x:v>
      </x:c>
      <x:c r="C3" s="42" t="str">
        <x:v>Simpleperf版本兼容</x:v>
      </x:c>
      <x:c r="D3" s="42" t="str">
        <x:v>设备端和Host端版本差异可能造成命令或格式不兼容。</x:v>
      </x:c>
      <x:c r="E3" s="42" t="str">
        <x:v>中</x:v>
      </x:c>
      <x:c r="F3" s="42" t="str">
        <x:v>高</x:v>
      </x:c>
      <x:c r="G3" s="42" t="str">
        <x:v>高</x:v>
      </x:c>
      <x:c r="H3" s="42" t="str">
        <x:v>转换失败、字段缺失</x:v>
      </x:c>
      <x:c r="I3" s="42" t="str">
        <x:v>记录版本；优先同源Host工具；建立兼容性矩阵和Golden数据。</x:v>
      </x:c>
      <x:c r="J3" s="42" t="str">
        <x:v>未分配</x:v>
      </x:c>
      <x:c r="K3" s="42" t="n">
        <x:v>7</x:v>
      </x:c>
      <x:c r="L3" s="42" t="str">
        <x:v>开放</x:v>
      </x:c>
      <x:c r="M3" s="43" t="str">
        <x:v>P3-001:P3-016</x:v>
      </x:c>
    </x:row>
    <x:row r="4">
      <x:c r="A4" s="41" t="str">
        <x:v>R-002</x:v>
      </x:c>
      <x:c r="B4" s="42" t="str">
        <x:v>风险</x:v>
      </x:c>
      <x:c r="C4" s="42" t="str">
        <x:v>普通user设备权限受限</x:v>
      </x:c>
      <x:c r="D4" s="42" t="str">
        <x:v>无法对任意系统进程或内核进行采样。</x:v>
      </x:c>
      <x:c r="E4" s="42" t="str">
        <x:v>高</x:v>
      </x:c>
      <x:c r="F4" s="42" t="str">
        <x:v>高</x:v>
      </x:c>
      <x:c r="G4" s="42" t="str">
        <x:v>高</x:v>
      </x:c>
      <x:c r="H4" s="42" t="str">
        <x:v>Permission denied</x:v>
      </x:c>
      <x:c r="I4" s="42" t="str">
        <x:v>Preflight明确能力边界；优先支持profileable/debuggable应用；系统模式仅在能力可用时开放。</x:v>
      </x:c>
      <x:c r="J4" s="42" t="str">
        <x:v>未分配</x:v>
      </x:c>
      <x:c r="K4" s="42" t="n">
        <x:v>5</x:v>
      </x:c>
      <x:c r="L4" s="42" t="str">
        <x:v>开放</x:v>
      </x:c>
      <x:c r="M4" s="43" t="str">
        <x:v>P2-004,P2-012</x:v>
      </x:c>
    </x:row>
    <x:row r="5">
      <x:c r="A5" s="41" t="str">
        <x:v>R-003</x:v>
      </x:c>
      <x:c r="B5" s="42" t="str">
        <x:v>风险</x:v>
      </x:c>
      <x:c r="C5" s="42" t="str">
        <x:v>Native符号缺失</x:v>
      </x:c>
      <x:c r="D5" s="42" t="str">
        <x:v>Unknown比例高导致分析价值下降。</x:v>
      </x:c>
      <x:c r="E5" s="42" t="str">
        <x:v>高</x:v>
      </x:c>
      <x:c r="F5" s="42" t="str">
        <x:v>中</x:v>
      </x:c>
      <x:c r="G5" s="42" t="str">
        <x:v>高</x:v>
      </x:c>
      <x:c r="H5" s="42" t="str">
        <x:v>Unknown &gt; 20%</x:v>
      </x:c>
      <x:c r="I5" s="42" t="str">
        <x:v>提供symdir/mapping入口；Symbols页定位来源；诊断降低置信度。</x:v>
      </x:c>
      <x:c r="J5" s="42" t="str">
        <x:v>未分配</x:v>
      </x:c>
      <x:c r="K5" s="42" t="n">
        <x:v>12</x:v>
      </x:c>
      <x:c r="L5" s="42" t="str">
        <x:v>开放</x:v>
      </x:c>
      <x:c r="M5" s="43" t="str">
        <x:v>P3-003,P5-016,P6-004</x:v>
      </x:c>
    </x:row>
    <x:row r="6">
      <x:c r="A6" s="41" t="str">
        <x:v>R-004</x:v>
      </x:c>
      <x:c r="B6" s="42" t="str">
        <x:v>风险</x:v>
      </x:c>
      <x:c r="C6" s="42" t="str">
        <x:v>大文件内存压力</x:v>
      </x:c>
      <x:c r="D6" s="42" t="str">
        <x:v>百万Sample和深调用栈可能导致OOM。</x:v>
      </x:c>
      <x:c r="E6" s="42" t="str">
        <x:v>中</x:v>
      </x:c>
      <x:c r="F6" s="42" t="str">
        <x:v>高</x:v>
      </x:c>
      <x:c r="G6" s="42" t="str">
        <x:v>高</x:v>
      </x:c>
      <x:c r="H6" s="42" t="str">
        <x:v>导入内存持续增长</x:v>
      </x:c>
      <x:c r="I6" s="42" t="str">
        <x:v>流式解析、批量事务、Frame/Callsite Intern、性能基准。</x:v>
      </x:c>
      <x:c r="J6" s="42" t="str">
        <x:v>未分配</x:v>
      </x:c>
      <x:c r="K6" s="42" t="n">
        <x:v>15</x:v>
      </x:c>
      <x:c r="L6" s="42" t="str">
        <x:v>开放</x:v>
      </x:c>
      <x:c r="M6" s="43" t="str">
        <x:v>P3-007,P4-005:P4-013</x:v>
      </x:c>
    </x:row>
    <x:row r="7">
      <x:c r="A7" s="41" t="str">
        <x:v>R-005</x:v>
      </x:c>
      <x:c r="B7" s="42" t="str">
        <x:v>风险</x:v>
      </x:c>
      <x:c r="C7" s="42" t="str">
        <x:v>Compose大图渲染性能</x:v>
      </x:c>
      <x:c r="D7" s="42" t="str">
        <x:v>FlameGraph/Timeline节点过多导致掉帧。</x:v>
      </x:c>
      <x:c r="E7" s="42" t="str">
        <x:v>中</x:v>
      </x:c>
      <x:c r="F7" s="42" t="str">
        <x:v>高</x:v>
      </x:c>
      <x:c r="G7" s="42" t="str">
        <x:v>高</x:v>
      </x:c>
      <x:c r="H7" s="42" t="str">
        <x:v>缩放P95&gt;50ms</x:v>
      </x:c>
      <x:c r="I7" s="42" t="str">
        <x:v>Canvas单层绘制、viewport裁剪、LOD和后台聚合。</x:v>
      </x:c>
      <x:c r="J7" s="42" t="str">
        <x:v>未分配</x:v>
      </x:c>
      <x:c r="K7" s="42" t="n">
        <x:v>15</x:v>
      </x:c>
      <x:c r="L7" s="42" t="str">
        <x:v>开放</x:v>
      </x:c>
      <x:c r="M7" s="43" t="str">
        <x:v>P5-011,P5-015,P5-020</x:v>
      </x:c>
    </x:row>
    <x:row r="8">
      <x:c r="A8" s="41" t="str">
        <x:v>R-006</x:v>
      </x:c>
      <x:c r="B8" s="42" t="str">
        <x:v>风险</x:v>
      </x:c>
      <x:c r="C8" s="42" t="str">
        <x:v>统计语义误导</x:v>
      </x:c>
      <x:c r="D8" s="42" t="str">
        <x:v>将Sample权重错误表述为精确函数耗时。</x:v>
      </x:c>
      <x:c r="E8" s="42" t="str">
        <x:v>中</x:v>
      </x:c>
      <x:c r="F8" s="42" t="str">
        <x:v>高</x:v>
      </x:c>
      <x:c r="G8" s="42" t="str">
        <x:v>高</x:v>
      </x:c>
      <x:c r="H8" s="42" t="str">
        <x:v>报告出现“精确耗时”</x:v>
      </x:c>
      <x:c r="I8" s="42" t="str">
        <x:v>统一术语、UI提示、规则输出限制说明、评审检查。</x:v>
      </x:c>
      <x:c r="J8" s="42" t="str">
        <x:v>未分配</x:v>
      </x:c>
      <x:c r="K8" s="42" t="n">
        <x:v>14</x:v>
      </x:c>
      <x:c r="L8" s="42" t="str">
        <x:v>开放</x:v>
      </x:c>
      <x:c r="M8" s="43" t="str">
        <x:v>P5-005:P5-017,P6-001:P6-015</x:v>
      </x:c>
    </x:row>
    <x:row r="9">
      <x:c r="A9" s="41" t="str">
        <x:v>R-007</x:v>
      </x:c>
      <x:c r="B9" s="42" t="str">
        <x:v>风险</x:v>
      </x:c>
      <x:c r="C9" s="42" t="str">
        <x:v>规则误报</x:v>
      </x:c>
      <x:c r="D9" s="42" t="str">
        <x:v>Android版本/OEM符号差异导致匹配不稳定。</x:v>
      </x:c>
      <x:c r="E9" s="42" t="str">
        <x:v>高</x:v>
      </x:c>
      <x:c r="F9" s="42" t="str">
        <x:v>中</x:v>
      </x:c>
      <x:c r="G9" s="42" t="str">
        <x:v>高</x:v>
      </x:c>
      <x:c r="H9" s="42" t="str">
        <x:v>规则命中但证据弱</x:v>
      </x:c>
      <x:c r="I9" s="42" t="str">
        <x:v>多模式匹配、版本化规则、置信度和Golden测试。</x:v>
      </x:c>
      <x:c r="J9" s="42" t="str">
        <x:v>未分配</x:v>
      </x:c>
      <x:c r="K9" s="42" t="n">
        <x:v>14</x:v>
      </x:c>
      <x:c r="L9" s="42" t="str">
        <x:v>开放</x:v>
      </x:c>
      <x:c r="M9" s="43" t="str">
        <x:v>P6-009:P6-015</x:v>
      </x:c>
    </x:row>
    <x:row r="10">
      <x:c r="A10" s="41" t="str">
        <x:v>R-008</x:v>
      </x:c>
      <x:c r="B10" s="42" t="str">
        <x:v>风险</x:v>
      </x:c>
      <x:c r="C10" s="42" t="str">
        <x:v>ADB断连和进程退出</x:v>
      </x:c>
      <x:c r="D10" s="42" t="str">
        <x:v>采集期间设备/目标可能消失。</x:v>
      </x:c>
      <x:c r="E10" s="42" t="str">
        <x:v>高</x:v>
      </x:c>
      <x:c r="F10" s="42" t="str">
        <x:v>中</x:v>
      </x:c>
      <x:c r="G10" s="42" t="str">
        <x:v>高</x:v>
      </x:c>
      <x:c r="H10" s="42" t="str">
        <x:v>offline、process not found</x:v>
      </x:c>
      <x:c r="I10" s="42" t="str">
        <x:v>状态机、重试、原始日志和异常恢复。</x:v>
      </x:c>
      <x:c r="J10" s="42" t="str">
        <x:v>未分配</x:v>
      </x:c>
      <x:c r="K10" s="42" t="n">
        <x:v>15</x:v>
      </x:c>
      <x:c r="L10" s="42" t="str">
        <x:v>开放</x:v>
      </x:c>
      <x:c r="M10" s="43" t="str">
        <x:v>P2-013:P2-016,P7-002</x:v>
      </x:c>
    </x:row>
    <x:row r="11">
      <x:c r="A11" s="41" t="str">
        <x:v>R-009</x:v>
      </x:c>
      <x:c r="B11" s="42" t="str">
        <x:v>风险</x:v>
      </x:c>
      <x:c r="C11" s="42" t="str">
        <x:v>SQLite WAL复制不一致</x:v>
      </x:c>
      <x:c r="D11" s="42" t="str">
        <x:v>只复制.db会丢失未checkpoint数据。</x:v>
      </x:c>
      <x:c r="E11" s="42" t="str">
        <x:v>低</x:v>
      </x:c>
      <x:c r="F11" s="42" t="str">
        <x:v>高</x:v>
      </x:c>
      <x:c r="G11" s="42" t="str">
        <x:v>中</x:v>
      </x:c>
      <x:c r="H11" s="42" t="str">
        <x:v>导入包数据缺失</x:v>
      </x:c>
      <x:c r="I11" s="42" t="str">
        <x:v>导出前checkpoint并关闭连接；Session包E2E测试。</x:v>
      </x:c>
      <x:c r="J11" s="42" t="str">
        <x:v>未分配</x:v>
      </x:c>
      <x:c r="K11" s="42" t="n">
        <x:v>15</x:v>
      </x:c>
      <x:c r="L11" s="42" t="str">
        <x:v>开放</x:v>
      </x:c>
      <x:c r="M11" s="43" t="str">
        <x:v>P4-003,P7-001</x:v>
      </x:c>
    </x:row>
    <x:row r="12">
      <x:c r="A12" s="41" t="str">
        <x:v>R-010</x:v>
      </x:c>
      <x:c r="B12" s="42" t="str">
        <x:v>风险</x:v>
      </x:c>
      <x:c r="C12" s="42" t="str">
        <x:v>跨平台打包差异</x:v>
      </x:c>
      <x:c r="D12" s="42" t="str">
        <x:v>macOS/Windows需要独立Runner和签名流程。</x:v>
      </x:c>
      <x:c r="E12" s="42" t="str">
        <x:v>中</x:v>
      </x:c>
      <x:c r="F12" s="42" t="str">
        <x:v>中</x:v>
      </x:c>
      <x:c r="G12" s="42" t="str">
        <x:v>中</x:v>
      </x:c>
      <x:c r="H12" s="42" t="str">
        <x:v>安装包仅本机可运行</x:v>
      </x:c>
      <x:c r="I12" s="42" t="str">
        <x:v>CI矩阵、干净机验证、签名与公证独立规划。</x:v>
      </x:c>
      <x:c r="J12" s="42" t="str">
        <x:v>未分配</x:v>
      </x:c>
      <x:c r="K12" s="42" t="n">
        <x:v>16</x:v>
      </x:c>
      <x:c r="L12" s="42" t="str">
        <x:v>开放</x:v>
      </x:c>
      <x:c r="M12" s="43" t="str">
        <x:v>P7-006,P7-007</x:v>
      </x:c>
    </x:row>
    <x:row r="13">
      <x:c r="A13" s="41" t="str">
        <x:v>D-001</x:v>
      </x:c>
      <x:c r="B13" s="42" t="str">
        <x:v>决策</x:v>
      </x:c>
      <x:c r="C13" s="42" t="str">
        <x:v>第一版使用protobuf中间格式</x:v>
      </x:c>
      <x:c r="D13" s="42" t="str">
        <x:v>V0.1不直接加载libsimpleperf_report，降低Native跨平台风险。</x:v>
      </x:c>
      <x:c r="E13" s="42" t="str">
        <x:v>已定</x:v>
      </x:c>
      <x:c r="F13" s="42" t="str">
        <x:v>高</x:v>
      </x:c>
      <x:c r="G13" s="42" t="str">
        <x:v>关键</x:v>
      </x:c>
      <x:c r="H13" s="42" t="str">
        <x:v>需要原始字段但proto缺失</x:v>
      </x:c>
      <x:c r="I13" s="42" t="str">
        <x:v>保留Importer接口和perf.data原始文件，V0.3接入Native解析服务。</x:v>
      </x:c>
      <x:c r="J13" s="42" t="str">
        <x:v>技术负责人</x:v>
      </x:c>
      <x:c r="K13" s="42" t="n">
        <x:v>1</x:v>
      </x:c>
      <x:c r="L13" s="42" t="str">
        <x:v>已确认</x:v>
      </x:c>
      <x:c r="M13" s="43" t="str">
        <x:v>P0-009,P3-001:P3-016</x:v>
      </x:c>
    </x:row>
    <x:row r="14">
      <x:c r="A14" s="41" t="str">
        <x:v>D-002</x:v>
      </x:c>
      <x:c r="B14" s="42" t="str">
        <x:v>决策</x:v>
      </x:c>
      <x:c r="C14" s="42" t="str">
        <x:v>SQLite为索引缓存</x:v>
      </x:c>
      <x:c r="D14" s="42" t="str">
        <x:v>原始事实数据为perf.data/proto，数据库可以重建。</x:v>
      </x:c>
      <x:c r="E14" s="42" t="str">
        <x:v>已定</x:v>
      </x:c>
      <x:c r="F14" s="42" t="str">
        <x:v>高</x:v>
      </x:c>
      <x:c r="G14" s="42" t="str">
        <x:v>关键</x:v>
      </x:c>
      <x:c r="H14" s="42" t="str">
        <x:v>数据库损坏或Schema升级</x:v>
      </x:c>
      <x:c r="I14" s="42" t="str">
        <x:v>Session保留raw和converted；提供重新解析入口。</x:v>
      </x:c>
      <x:c r="J14" s="42" t="str">
        <x:v>技术负责人</x:v>
      </x:c>
      <x:c r="K14" s="42" t="n">
        <x:v>3</x:v>
      </x:c>
      <x:c r="L14" s="42" t="str">
        <x:v>已确认</x:v>
      </x:c>
      <x:c r="M14" s="43" t="str">
        <x:v>P1-004,P4-001:P4-012</x:v>
      </x:c>
    </x:row>
    <x:row r="15">
      <x:c r="A15" s="41" t="str">
        <x:v>D-003</x:v>
      </x:c>
      <x:c r="B15" s="42" t="str">
        <x:v>决策</x:v>
      </x:c>
      <x:c r="C15" s="42" t="str">
        <x:v>FlameGraph使用Canvas</x:v>
      </x:c>
      <x:c r="D15" s="42" t="str">
        <x:v>避免为每个节点创建Compose组件。</x:v>
      </x:c>
      <x:c r="E15" s="42" t="str">
        <x:v>已定</x:v>
      </x:c>
      <x:c r="F15" s="42" t="str">
        <x:v>高</x:v>
      </x:c>
      <x:c r="G15" s="42" t="str">
        <x:v>关键</x:v>
      </x:c>
      <x:c r="H15" s="42" t="str">
        <x:v>节点数超过一万</x:v>
      </x:c>
      <x:c r="I15" s="42" t="str">
        <x:v>自定义布局、绘制和hit-test。</x:v>
      </x:c>
      <x:c r="J15" s="42" t="str">
        <x:v>技术负责人</x:v>
      </x:c>
      <x:c r="K15" s="42" t="n">
        <x:v>10</x:v>
      </x:c>
      <x:c r="L15" s="42" t="str">
        <x:v>已确认</x:v>
      </x:c>
      <x:c r="M15" s="43" t="str">
        <x:v>P5-010:P5-013</x:v>
      </x:c>
    </x:row>
    <x:row r="16">
      <x:c r="A16" s="44" t="str">
        <x:v>D-004</x:v>
      </x:c>
      <x:c r="B16" s="45" t="str">
        <x:v>决策</x:v>
      </x:c>
      <x:c r="C16" s="45" t="str">
        <x:v>规则必须输出证据与限制</x:v>
      </x:c>
      <x:c r="D16" s="45" t="str">
        <x:v>自动分析只提供根因候选，不伪装为确定因果。</x:v>
      </x:c>
      <x:c r="E16" s="45" t="str">
        <x:v>已定</x:v>
      </x:c>
      <x:c r="F16" s="45" t="str">
        <x:v>高</x:v>
      </x:c>
      <x:c r="G16" s="45" t="str">
        <x:v>关键</x:v>
      </x:c>
      <x:c r="H16" s="45" t="str">
        <x:v>用户质疑规则结论</x:v>
      </x:c>
      <x:c r="I16" s="45" t="str">
        <x:v>统一Diagnostic模型和证据跳转。</x:v>
      </x:c>
      <x:c r="J16" s="45" t="str">
        <x:v>技术负责人</x:v>
      </x:c>
      <x:c r="K16" s="45" t="n">
        <x:v>13</x:v>
      </x:c>
      <x:c r="L16" s="45" t="str">
        <x:v>已确认</x:v>
      </x:c>
      <x:c r="M16" s="46" t="str">
        <x:v>P6-001:P6-015</x:v>
      </x:c>
    </x:row>
  </x:sheetData>
  <x:mergeCells>
    <x:mergeCell ref="A1:M1"/>
  </x:mergeCells>
  <x:conditionalFormatting sqref="L3:L16">
    <x:cfRule type="expression" dxfId="7" priority="1">
      <x:formula>L3="已关闭"</x:formula>
    </x:cfRule>
  </x:conditionalFormatting>
  <x:conditionalFormatting sqref="G3:G16">
    <x:cfRule type="expression" dxfId="8" priority="2">
      <x:formula>G3="高"</x:formula>
    </x:cfRule>
  </x:conditionalFormatting>
  <x:dataValidations count="1">
    <x:dataValidation type="list" sqref="L3:L16">
      <x:formula1>"开放,跟踪中,已缓解,已关闭,已确认"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f855ac63df423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72" hidden="0" customWidth="1"/>
  </x:cols>
  <x:sheetData>
    <x:row r="1" ht="28" customHeight="1">
      <x:c r="A1" s="5" t="str">
        <x:v>官方参考资料</x:v>
      </x:c>
      <x:c r="B1" s="5"/>
      <x:c r="C1" s="5"/>
    </x:row>
    <x:row r="2" ht="28" customHeight="1">
      <x:c r="A2" s="38" t="str">
        <x:v>主题</x:v>
      </x:c>
      <x:c r="B2" s="39" t="str">
        <x:v>用途</x:v>
      </x:c>
      <x:c r="C2" s="40" t="str">
        <x:v>官方来源</x:v>
      </x:c>
    </x:row>
    <x:row r="3">
      <x:c r="A3" s="41" t="str">
        <x:v>AOSP Simpleperf源码</x:v>
      </x:c>
      <x:c r="B3" s="42" t="str">
        <x:v>采集器、report-sample、proto协议来源</x:v>
      </x:c>
      <x:c r="C3" s="43" t="str">
        <x:v>https://android.googlesource.com/platform/system/extras/+/main/simpleperf/</x:v>
      </x:c>
    </x:row>
    <x:row r="4">
      <x:c r="A4" s="41" t="str">
        <x:v>Simpleperf脚本参考</x:v>
      </x:c>
      <x:c r="B4" s="42" t="str">
        <x:v>官方采集、转换、报告脚本说明</x:v>
      </x:c>
      <x:c r="C4" s="43" t="str">
        <x:v>https://android.googlesource.com/platform/system/extras/+/main/simpleperf/doc/scripts_reference.md</x:v>
      </x:c>
    </x:row>
    <x:row r="5">
      <x:c r="A5" s="41" t="str">
        <x:v>Simpleperf report_sample proto</x:v>
      </x:c>
      <x:c r="B5" s="42" t="str">
        <x:v>Record流和字段定义</x:v>
      </x:c>
      <x:c r="C5" s="43" t="str">
        <x:v>https://android.googlesource.com/platform/system/extras/+/master/simpleperf/cmd_report_sample.proto</x:v>
      </x:c>
    </x:row>
    <x:row r="6">
      <x:c r="A6" s="41" t="str">
        <x:v>Simpleperf report library</x:v>
      </x:c>
      <x:c r="B6" s="42" t="str">
        <x:v>后续libsimpleperf_report接入参考</x:v>
      </x:c>
      <x:c r="C6" s="43" t="str">
        <x:v>https://android.googlesource.com/platform/system/extras/+/master/simpleperf/scripts/simpleperf_report_lib.py</x:v>
      </x:c>
    </x:row>
    <x:row r="7">
      <x:c r="A7" s="41" t="str">
        <x:v>Perfetto其他格式</x:v>
      </x:c>
      <x:c r="B7" s="42" t="str">
        <x:v>Simpleperf protobuf导入与Trace Processor表</x:v>
      </x:c>
      <x:c r="C7" s="43" t="str">
        <x:v>https://perfetto.dev/docs/getting-started/other-formats</x:v>
      </x:c>
    </x:row>
    <x:row r="8">
      <x:c r="A8" s="41" t="str">
        <x:v>Perfetto CPU profiling</x:v>
      </x:c>
      <x:c r="B8" s="42" t="str">
        <x:v>后续linux.perf与系统Trace联合采集</x:v>
      </x:c>
      <x:c r="C8" s="43" t="str">
        <x:v>https://perfetto.dev/docs/getting-started/cpu-profiling</x:v>
      </x:c>
    </x:row>
    <x:row r="9">
      <x:c r="A9" s="41" t="str">
        <x:v>Compose Desktop原生分发</x:v>
      </x:c>
      <x:c r="B9" s="42" t="str">
        <x:v>跨平台jpackage打包</x:v>
      </x:c>
      <x:c r="C9" s="43" t="str">
        <x:v>https://www.jetbrains.com/help/kotlin-multiplatform-dev/compose-native-distribution.html</x:v>
      </x:c>
    </x:row>
    <x:row r="10">
      <x:c r="A10" s="44" t="str">
        <x:v>SQLite WAL</x:v>
      </x:c>
      <x:c r="B10" s="45" t="str">
        <x:v>WAL生命周期、checkpoint和复制注意事项</x:v>
      </x:c>
      <x:c r="C10" s="46" t="str">
        <x:v>https://sqlite.org/wal.html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afeda6743a1d4734"/>
  </x:tableParts>
</x:worksheet>
</file>